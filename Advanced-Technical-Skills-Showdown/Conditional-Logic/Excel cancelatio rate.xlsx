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rkane\Downloads\Datasets for practice\Hard SQL Questions\Leetcode\Trips and Users\"/>
    </mc:Choice>
  </mc:AlternateContent>
  <xr:revisionPtr revIDLastSave="0" documentId="13_ncr:1_{407D0C8C-BB7F-42ED-8852-4138F37DA56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Users csv" sheetId="3" r:id="rId1"/>
    <sheet name="Trips csv" sheetId="2" r:id="rId2"/>
  </sheets>
  <definedNames>
    <definedName name="ExternalData_1" localSheetId="1" hidden="1">'Trips csv'!$A$1:$H$30</definedName>
    <definedName name="ExternalData_2" localSheetId="0" hidden="1">'Users csv'!$A$1:$C$16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2" i="2"/>
  <c r="N3" i="2"/>
  <c r="N4" i="2"/>
  <c r="N2" i="2"/>
  <c r="M3" i="2"/>
  <c r="M4" i="2"/>
  <c r="M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78CF0F-14AC-4C5B-BB7C-CA8666CDF170}" keepAlive="1" name="Query - Trips csv" description="Connection to the 'Trips csv' query in the workbook." type="5" refreshedVersion="8" background="1" saveData="1">
    <dbPr connection="Provider=Microsoft.Mashup.OleDb.1;Data Source=$Workbook$;Location=&quot;Trips csv&quot;;Extended Properties=&quot;&quot;" command="SELECT * FROM [Trips csv]"/>
  </connection>
  <connection id="2" xr16:uid="{5500D441-9C9E-47DF-AA1E-F7E4C55487AA}" keepAlive="1" name="Query - Users csv" description="Connection to the 'Users csv' query in the workbook." type="5" refreshedVersion="8" background="1" saveData="1">
    <dbPr connection="Provider=Microsoft.Mashup.OleDb.1;Data Source=$Workbook$;Location=&quot;Users csv&quot;;Extended Properties=&quot;&quot;" command="SELECT * FROM [Users csv]"/>
  </connection>
</connections>
</file>

<file path=xl/sharedStrings.xml><?xml version="1.0" encoding="utf-8"?>
<sst xmlns="http://schemas.openxmlformats.org/spreadsheetml/2006/main" count="133" uniqueCount="22">
  <si>
    <t>id</t>
  </si>
  <si>
    <t>client_id</t>
  </si>
  <si>
    <t>driver_id</t>
  </si>
  <si>
    <t>city_id</t>
  </si>
  <si>
    <t>status</t>
  </si>
  <si>
    <t>request_at</t>
  </si>
  <si>
    <t>client_banned</t>
  </si>
  <si>
    <t>driver_banned</t>
  </si>
  <si>
    <t>completed</t>
  </si>
  <si>
    <t>No</t>
  </si>
  <si>
    <t>cancelled_by_driver</t>
  </si>
  <si>
    <t>cancelled_by_client</t>
  </si>
  <si>
    <t>users_id</t>
  </si>
  <si>
    <t>banned</t>
  </si>
  <si>
    <t>role</t>
  </si>
  <si>
    <t>client</t>
  </si>
  <si>
    <t>Yes</t>
  </si>
  <si>
    <t>driver</t>
  </si>
  <si>
    <t>canceled</t>
  </si>
  <si>
    <t>Date</t>
  </si>
  <si>
    <t>count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</si>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</sst>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79AB133-5F2B-4A7B-97A8-A7E880109E0B}" autoFormatId="16" applyNumberFormats="0" applyBorderFormats="0" applyFontFormats="0" applyPatternFormats="0" applyAlignmentFormats="0" applyWidthHeightFormats="0">
  <queryTableRefresh nextId="4">
    <queryTableFields count="3">
      <queryTableField id="1" name="users_id" tableColumnId="1"/>
      <queryTableField id="2" name="banned" tableColumnId="2"/>
      <queryTableField id="3" name="rol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EDA399-660B-4DC5-A218-894DD5AA111A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" tableColumnId="1"/>
      <queryTableField id="2" name="client_id" tableColumnId="2"/>
      <queryTableField id="3" name="driver_id" tableColumnId="3"/>
      <queryTableField id="4" name="city_id" tableColumnId="4"/>
      <queryTableField id="5" name="status" tableColumnId="5"/>
      <queryTableField id="6" name="request_at" tableColumnId="6"/>
      <queryTableField id="7" name="client_banned" tableColumnId="7"/>
      <queryTableField id="8" name="driver_banned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94DDD-A6AB-4AE2-9159-43F729188DBB}" name="Users_csv" displayName="Users_csv" ref="A1:C16" tableType="queryTable" totalsRowShown="0">
  <autoFilter ref="A1:C16" xr:uid="{73F94DDD-A6AB-4AE2-9159-43F729188DBB}"/>
  <tableColumns count="3">
    <tableColumn id="1" xr3:uid="{B39EA39D-77E2-4910-8048-C31A372D32A2}" uniqueName="1" name="users_id" queryTableFieldId="1"/>
    <tableColumn id="2" xr3:uid="{6C4C5083-8939-4310-9B05-BACB36013F4F}" uniqueName="2" name="banned" queryTableFieldId="2" dataDxfId="2"/>
    <tableColumn id="3" xr3:uid="{8FB30CFD-D18F-4D1D-BCEA-5C6E5B8A7A39}" uniqueName="3" name="role" queryTableFieldId="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F2BC3-9EE7-4B5B-9CF6-24F967CE0F04}" name="Trips_csv" displayName="Trips_csv" ref="A1:I30" tableType="queryTable" totalsRowShown="0">
  <autoFilter ref="A1:I30" xr:uid="{F2AF2BC3-9EE7-4B5B-9CF6-24F967CE0F04}"/>
  <tableColumns count="9">
    <tableColumn id="1" xr3:uid="{F3EB7DA4-839A-4CFE-8237-01B9478227ED}" uniqueName="1" name="id" queryTableFieldId="1"/>
    <tableColumn id="2" xr3:uid="{B8576D19-DC84-4C8B-9F07-E89250727D0E}" uniqueName="2" name="client_id" queryTableFieldId="2"/>
    <tableColumn id="3" xr3:uid="{89C47FF7-9EC3-4232-9D20-3DA262BF211E}" uniqueName="3" name="driver_id" queryTableFieldId="3"/>
    <tableColumn id="4" xr3:uid="{A8124540-5C15-4472-B1F7-42BF115978CF}" uniqueName="4" name="city_id" queryTableFieldId="4"/>
    <tableColumn id="5" xr3:uid="{446838B3-445E-44D7-B186-F0C1122B55B7}" uniqueName="5" name="status" queryTableFieldId="5" dataDxfId="6"/>
    <tableColumn id="6" xr3:uid="{EA43B8F2-3F18-47D1-86DF-622999AB93B0}" uniqueName="6" name="request_at" queryTableFieldId="6" dataDxfId="5"/>
    <tableColumn id="7" xr3:uid="{2C6FDE8F-74E3-45DC-A7E8-19141146360A}" uniqueName="7" name="client_banned" queryTableFieldId="7" dataDxfId="4"/>
    <tableColumn id="8" xr3:uid="{BDBB53DD-42CD-4F24-9AF7-1710D8A77E2C}" uniqueName="8" name="driver_banned" queryTableFieldId="8" dataDxfId="3"/>
    <tableColumn id="9" xr3:uid="{7C8FFB87-A47F-445C-B136-BF0427BBE292}" uniqueName="9" name="canceled" queryTableFieldId="9" dataDxfId="0">
      <calculatedColumnFormula>IF(Trips_csv[[#This Row],[status]]="completed", 0, 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C6FC-AFAE-4B64-9E43-DEBC52951B26}">
  <dimension ref="A1:C16"/>
  <sheetViews>
    <sheetView workbookViewId="0"/>
  </sheetViews>
  <sheetFormatPr defaultRowHeight="15" x14ac:dyDescent="0.25"/>
  <cols>
    <col min="1" max="1" width="10.7109375" bestFit="1" customWidth="1"/>
    <col min="2" max="2" width="10" bestFit="1" customWidth="1"/>
    <col min="3" max="3" width="6.8554687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1</v>
      </c>
      <c r="B2" s="1" t="s">
        <v>9</v>
      </c>
      <c r="C2" s="1" t="s">
        <v>15</v>
      </c>
    </row>
    <row r="3" spans="1:3" x14ac:dyDescent="0.25">
      <c r="A3">
        <v>2</v>
      </c>
      <c r="B3" s="1" t="s">
        <v>9</v>
      </c>
      <c r="C3" s="1" t="s">
        <v>15</v>
      </c>
    </row>
    <row r="4" spans="1:3" x14ac:dyDescent="0.25">
      <c r="A4">
        <v>3</v>
      </c>
      <c r="B4" s="1" t="s">
        <v>9</v>
      </c>
      <c r="C4" s="1" t="s">
        <v>15</v>
      </c>
    </row>
    <row r="5" spans="1:3" x14ac:dyDescent="0.25">
      <c r="A5">
        <v>4</v>
      </c>
      <c r="B5" s="1" t="s">
        <v>9</v>
      </c>
      <c r="C5" s="1" t="s">
        <v>15</v>
      </c>
    </row>
    <row r="6" spans="1:3" x14ac:dyDescent="0.25">
      <c r="A6">
        <v>5</v>
      </c>
      <c r="B6" s="1" t="s">
        <v>9</v>
      </c>
      <c r="C6" s="1" t="s">
        <v>15</v>
      </c>
    </row>
    <row r="7" spans="1:3" x14ac:dyDescent="0.25">
      <c r="A7">
        <v>6</v>
      </c>
      <c r="B7" s="1" t="s">
        <v>9</v>
      </c>
      <c r="C7" s="1" t="s">
        <v>15</v>
      </c>
    </row>
    <row r="8" spans="1:3" x14ac:dyDescent="0.25">
      <c r="A8">
        <v>7</v>
      </c>
      <c r="B8" s="1" t="s">
        <v>16</v>
      </c>
      <c r="C8" s="1" t="s">
        <v>15</v>
      </c>
    </row>
    <row r="9" spans="1:3" x14ac:dyDescent="0.25">
      <c r="A9">
        <v>8</v>
      </c>
      <c r="B9" s="1" t="s">
        <v>9</v>
      </c>
      <c r="C9" s="1" t="s">
        <v>17</v>
      </c>
    </row>
    <row r="10" spans="1:3" x14ac:dyDescent="0.25">
      <c r="A10">
        <v>9</v>
      </c>
      <c r="B10" s="1" t="s">
        <v>9</v>
      </c>
      <c r="C10" s="1" t="s">
        <v>17</v>
      </c>
    </row>
    <row r="11" spans="1:3" x14ac:dyDescent="0.25">
      <c r="A11">
        <v>10</v>
      </c>
      <c r="B11" s="1" t="s">
        <v>9</v>
      </c>
      <c r="C11" s="1" t="s">
        <v>17</v>
      </c>
    </row>
    <row r="12" spans="1:3" x14ac:dyDescent="0.25">
      <c r="A12">
        <v>11</v>
      </c>
      <c r="B12" s="1" t="s">
        <v>9</v>
      </c>
      <c r="C12" s="1" t="s">
        <v>17</v>
      </c>
    </row>
    <row r="13" spans="1:3" x14ac:dyDescent="0.25">
      <c r="A13">
        <v>12</v>
      </c>
      <c r="B13" s="1" t="s">
        <v>9</v>
      </c>
      <c r="C13" s="1" t="s">
        <v>17</v>
      </c>
    </row>
    <row r="14" spans="1:3" x14ac:dyDescent="0.25">
      <c r="A14">
        <v>13</v>
      </c>
      <c r="B14" s="1" t="s">
        <v>16</v>
      </c>
      <c r="C14" s="1" t="s">
        <v>17</v>
      </c>
    </row>
    <row r="15" spans="1:3" x14ac:dyDescent="0.25">
      <c r="A15">
        <v>14</v>
      </c>
      <c r="B15" s="1" t="s">
        <v>9</v>
      </c>
      <c r="C15" s="1" t="s">
        <v>15</v>
      </c>
    </row>
    <row r="16" spans="1:3" x14ac:dyDescent="0.25">
      <c r="A16">
        <v>15</v>
      </c>
      <c r="B16" s="1" t="s">
        <v>9</v>
      </c>
      <c r="C1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7A39-7813-4E55-B70C-BDC5E65BE9B8}">
  <dimension ref="A1:O30"/>
  <sheetViews>
    <sheetView tabSelected="1" topLeftCell="D1" workbookViewId="0">
      <selection activeCell="M14" sqref="M14"/>
    </sheetView>
  </sheetViews>
  <sheetFormatPr defaultRowHeight="15" x14ac:dyDescent="0.25"/>
  <cols>
    <col min="1" max="1" width="5" bestFit="1" customWidth="1"/>
    <col min="2" max="2" width="11" bestFit="1" customWidth="1"/>
    <col min="3" max="3" width="11.28515625" bestFit="1" customWidth="1"/>
    <col min="5" max="5" width="19.140625" bestFit="1" customWidth="1"/>
    <col min="6" max="6" width="12.85546875" bestFit="1" customWidth="1"/>
    <col min="7" max="7" width="16.140625" bestFit="1" customWidth="1"/>
    <col min="8" max="8" width="16.42578125" bestFit="1" customWidth="1"/>
    <col min="12" max="12" width="13.140625" bestFit="1" customWidth="1"/>
    <col min="13" max="13" width="15.5703125" bestFit="1" customWidth="1"/>
    <col min="14" max="14" width="10.7109375" bestFit="1" customWidth="1"/>
    <col min="15" max="15" width="26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L1" t="s">
        <v>19</v>
      </c>
      <c r="M1" t="s">
        <v>20</v>
      </c>
      <c r="N1" t="s">
        <v>18</v>
      </c>
      <c r="O1" t="s">
        <v>21</v>
      </c>
    </row>
    <row r="2" spans="1:15" x14ac:dyDescent="0.25">
      <c r="A2">
        <v>1</v>
      </c>
      <c r="B2">
        <v>1</v>
      </c>
      <c r="C2">
        <v>10</v>
      </c>
      <c r="D2">
        <v>1</v>
      </c>
      <c r="E2" s="1" t="s">
        <v>8</v>
      </c>
      <c r="F2" s="2">
        <v>41548</v>
      </c>
      <c r="G2" s="1" t="s">
        <v>9</v>
      </c>
      <c r="H2" s="1" t="s">
        <v>9</v>
      </c>
      <c r="I2" s="1">
        <f>IF(Trips_csv[[#This Row],[status]]="completed", 0, 1)</f>
        <v>0</v>
      </c>
      <c r="L2" s="2">
        <v>41548</v>
      </c>
      <c r="M2">
        <f>COUNTIF(Trips_csv[request_at],L2)</f>
        <v>9</v>
      </c>
      <c r="N2">
        <f>SUMIF(Trips_csv[request_at],L2,Trips_csv[canceled])</f>
        <v>4</v>
      </c>
      <c r="O2" s="3">
        <f>N2/M2</f>
        <v>0.44444444444444442</v>
      </c>
    </row>
    <row r="3" spans="1:15" x14ac:dyDescent="0.25">
      <c r="A3">
        <v>5</v>
      </c>
      <c r="B3">
        <v>1</v>
      </c>
      <c r="C3">
        <v>10</v>
      </c>
      <c r="D3">
        <v>1</v>
      </c>
      <c r="E3" s="1" t="s">
        <v>10</v>
      </c>
      <c r="F3" s="2">
        <v>41548</v>
      </c>
      <c r="G3" s="1" t="s">
        <v>9</v>
      </c>
      <c r="H3" s="1" t="s">
        <v>9</v>
      </c>
      <c r="I3" s="1">
        <f>IF(Trips_csv[[#This Row],[status]]="completed", 0, 1)</f>
        <v>1</v>
      </c>
      <c r="L3" s="2">
        <v>41549</v>
      </c>
      <c r="M3">
        <f>COUNTIF(Trips_csv[request_at],L3)</f>
        <v>10</v>
      </c>
      <c r="N3">
        <f>SUMIF(Trips_csv[request_at],L3,Trips_csv[canceled])</f>
        <v>2</v>
      </c>
      <c r="O3" s="3">
        <f t="shared" ref="O3:O4" si="0">N3/M3</f>
        <v>0.2</v>
      </c>
    </row>
    <row r="4" spans="1:15" x14ac:dyDescent="0.25">
      <c r="A4">
        <v>10</v>
      </c>
      <c r="B4">
        <v>4</v>
      </c>
      <c r="C4">
        <v>10</v>
      </c>
      <c r="D4">
        <v>1</v>
      </c>
      <c r="E4" s="1" t="s">
        <v>8</v>
      </c>
      <c r="F4" s="2">
        <v>41549</v>
      </c>
      <c r="G4" s="1" t="s">
        <v>9</v>
      </c>
      <c r="H4" s="1" t="s">
        <v>9</v>
      </c>
      <c r="I4" s="1">
        <f>IF(Trips_csv[[#This Row],[status]]="completed", 0, 1)</f>
        <v>0</v>
      </c>
      <c r="L4" s="2">
        <v>41550</v>
      </c>
      <c r="M4">
        <f>COUNTIF(Trips_csv[request_at],L4)</f>
        <v>10</v>
      </c>
      <c r="N4">
        <f>SUMIF(Trips_csv[request_at],L4,Trips_csv[canceled])</f>
        <v>3</v>
      </c>
      <c r="O4" s="3">
        <f t="shared" si="0"/>
        <v>0.3</v>
      </c>
    </row>
    <row r="5" spans="1:15" x14ac:dyDescent="0.25">
      <c r="A5">
        <v>15</v>
      </c>
      <c r="B5">
        <v>6</v>
      </c>
      <c r="C5">
        <v>10</v>
      </c>
      <c r="D5">
        <v>1</v>
      </c>
      <c r="E5" s="1" t="s">
        <v>8</v>
      </c>
      <c r="F5" s="2">
        <v>41550</v>
      </c>
      <c r="G5" s="1" t="s">
        <v>9</v>
      </c>
      <c r="H5" s="1" t="s">
        <v>9</v>
      </c>
      <c r="I5" s="1">
        <f>IF(Trips_csv[[#This Row],[status]]="completed", 0, 1)</f>
        <v>0</v>
      </c>
      <c r="O5" s="3"/>
    </row>
    <row r="6" spans="1:15" x14ac:dyDescent="0.25">
      <c r="A6">
        <v>12</v>
      </c>
      <c r="B6">
        <v>1</v>
      </c>
      <c r="C6">
        <v>12</v>
      </c>
      <c r="D6">
        <v>1</v>
      </c>
      <c r="E6" s="1" t="s">
        <v>8</v>
      </c>
      <c r="F6" s="2">
        <v>41550</v>
      </c>
      <c r="G6" s="1" t="s">
        <v>9</v>
      </c>
      <c r="H6" s="1" t="s">
        <v>9</v>
      </c>
      <c r="I6" s="1">
        <f>IF(Trips_csv[[#This Row],[status]]="completed", 0, 1)</f>
        <v>0</v>
      </c>
      <c r="O6" s="3"/>
    </row>
    <row r="7" spans="1:15" x14ac:dyDescent="0.25">
      <c r="A7">
        <v>3</v>
      </c>
      <c r="B7">
        <v>3</v>
      </c>
      <c r="C7">
        <v>12</v>
      </c>
      <c r="D7">
        <v>1</v>
      </c>
      <c r="E7" s="1" t="s">
        <v>11</v>
      </c>
      <c r="F7" s="2">
        <v>41548</v>
      </c>
      <c r="G7" s="1" t="s">
        <v>9</v>
      </c>
      <c r="H7" s="1" t="s">
        <v>9</v>
      </c>
      <c r="I7" s="1">
        <f>IF(Trips_csv[[#This Row],[status]]="completed", 0, 1)</f>
        <v>1</v>
      </c>
      <c r="O7" s="3"/>
    </row>
    <row r="8" spans="1:15" x14ac:dyDescent="0.25">
      <c r="A8">
        <v>7</v>
      </c>
      <c r="B8">
        <v>6</v>
      </c>
      <c r="C8">
        <v>12</v>
      </c>
      <c r="D8">
        <v>1</v>
      </c>
      <c r="E8" s="1" t="s">
        <v>8</v>
      </c>
      <c r="F8" s="2">
        <v>41549</v>
      </c>
      <c r="G8" s="1" t="s">
        <v>9</v>
      </c>
      <c r="H8" s="1" t="s">
        <v>9</v>
      </c>
      <c r="I8" s="1">
        <f>IF(Trips_csv[[#This Row],[status]]="completed", 0, 1)</f>
        <v>0</v>
      </c>
      <c r="O8" s="3"/>
    </row>
    <row r="9" spans="1:15" x14ac:dyDescent="0.25">
      <c r="A9">
        <v>2</v>
      </c>
      <c r="B9">
        <v>2</v>
      </c>
      <c r="C9">
        <v>11</v>
      </c>
      <c r="D9">
        <v>1</v>
      </c>
      <c r="E9" s="1" t="s">
        <v>8</v>
      </c>
      <c r="F9" s="2">
        <v>41548</v>
      </c>
      <c r="G9" s="1" t="s">
        <v>9</v>
      </c>
      <c r="H9" s="1" t="s">
        <v>9</v>
      </c>
      <c r="I9" s="1">
        <f>IF(Trips_csv[[#This Row],[status]]="completed", 0, 1)</f>
        <v>0</v>
      </c>
    </row>
    <row r="10" spans="1:15" x14ac:dyDescent="0.25">
      <c r="A10">
        <v>16</v>
      </c>
      <c r="B10">
        <v>4</v>
      </c>
      <c r="C10">
        <v>11</v>
      </c>
      <c r="D10">
        <v>1</v>
      </c>
      <c r="E10" s="1" t="s">
        <v>8</v>
      </c>
      <c r="F10" s="2">
        <v>41550</v>
      </c>
      <c r="G10" s="1" t="s">
        <v>9</v>
      </c>
      <c r="H10" s="1" t="s">
        <v>9</v>
      </c>
      <c r="I10" s="1">
        <f>IF(Trips_csv[[#This Row],[status]]="completed", 0, 1)</f>
        <v>0</v>
      </c>
    </row>
    <row r="11" spans="1:15" x14ac:dyDescent="0.25">
      <c r="A11">
        <v>6</v>
      </c>
      <c r="B11">
        <v>5</v>
      </c>
      <c r="C11">
        <v>11</v>
      </c>
      <c r="D11">
        <v>1</v>
      </c>
      <c r="E11" s="1" t="s">
        <v>8</v>
      </c>
      <c r="F11" s="2">
        <v>41549</v>
      </c>
      <c r="G11" s="1" t="s">
        <v>9</v>
      </c>
      <c r="H11" s="1" t="s">
        <v>9</v>
      </c>
      <c r="I11" s="1">
        <f>IF(Trips_csv[[#This Row],[status]]="completed", 0, 1)</f>
        <v>0</v>
      </c>
    </row>
    <row r="12" spans="1:15" x14ac:dyDescent="0.25">
      <c r="A12">
        <v>11</v>
      </c>
      <c r="B12">
        <v>5</v>
      </c>
      <c r="C12">
        <v>11</v>
      </c>
      <c r="D12">
        <v>1</v>
      </c>
      <c r="E12" s="1" t="s">
        <v>10</v>
      </c>
      <c r="F12" s="2">
        <v>41549</v>
      </c>
      <c r="G12" s="1" t="s">
        <v>9</v>
      </c>
      <c r="H12" s="1" t="s">
        <v>9</v>
      </c>
      <c r="I12" s="1">
        <f>IF(Trips_csv[[#This Row],[status]]="completed", 0, 1)</f>
        <v>1</v>
      </c>
    </row>
    <row r="13" spans="1:15" x14ac:dyDescent="0.25">
      <c r="A13">
        <v>8</v>
      </c>
      <c r="B13">
        <v>2</v>
      </c>
      <c r="C13">
        <v>8</v>
      </c>
      <c r="D13">
        <v>1</v>
      </c>
      <c r="E13" s="1" t="s">
        <v>11</v>
      </c>
      <c r="F13" s="2">
        <v>41549</v>
      </c>
      <c r="G13" s="1" t="s">
        <v>9</v>
      </c>
      <c r="H13" s="1" t="s">
        <v>9</v>
      </c>
      <c r="I13" s="1">
        <f>IF(Trips_csv[[#This Row],[status]]="completed", 0, 1)</f>
        <v>1</v>
      </c>
    </row>
    <row r="14" spans="1:15" x14ac:dyDescent="0.25">
      <c r="A14">
        <v>13</v>
      </c>
      <c r="B14">
        <v>2</v>
      </c>
      <c r="C14">
        <v>8</v>
      </c>
      <c r="D14">
        <v>1</v>
      </c>
      <c r="E14" s="1" t="s">
        <v>8</v>
      </c>
      <c r="F14" s="2">
        <v>41550</v>
      </c>
      <c r="G14" s="1" t="s">
        <v>9</v>
      </c>
      <c r="H14" s="1" t="s">
        <v>9</v>
      </c>
      <c r="I14" s="1">
        <f>IF(Trips_csv[[#This Row],[status]]="completed", 0, 1)</f>
        <v>0</v>
      </c>
    </row>
    <row r="15" spans="1:15" x14ac:dyDescent="0.25">
      <c r="A15">
        <v>4</v>
      </c>
      <c r="B15">
        <v>4</v>
      </c>
      <c r="C15">
        <v>8</v>
      </c>
      <c r="D15">
        <v>1</v>
      </c>
      <c r="E15" s="1" t="s">
        <v>8</v>
      </c>
      <c r="F15" s="2">
        <v>41548</v>
      </c>
      <c r="G15" s="1" t="s">
        <v>9</v>
      </c>
      <c r="H15" s="1" t="s">
        <v>9</v>
      </c>
      <c r="I15" s="1">
        <f>IF(Trips_csv[[#This Row],[status]]="completed", 0, 1)</f>
        <v>0</v>
      </c>
    </row>
    <row r="16" spans="1:15" x14ac:dyDescent="0.25">
      <c r="A16">
        <v>9</v>
      </c>
      <c r="B16">
        <v>3</v>
      </c>
      <c r="C16">
        <v>9</v>
      </c>
      <c r="D16">
        <v>1</v>
      </c>
      <c r="E16" s="1" t="s">
        <v>8</v>
      </c>
      <c r="F16" s="2">
        <v>41549</v>
      </c>
      <c r="G16" s="1" t="s">
        <v>9</v>
      </c>
      <c r="H16" s="1" t="s">
        <v>9</v>
      </c>
      <c r="I16" s="1">
        <f>IF(Trips_csv[[#This Row],[status]]="completed", 0, 1)</f>
        <v>0</v>
      </c>
    </row>
    <row r="17" spans="1:9" x14ac:dyDescent="0.25">
      <c r="A17">
        <v>14</v>
      </c>
      <c r="B17">
        <v>3</v>
      </c>
      <c r="C17">
        <v>9</v>
      </c>
      <c r="D17">
        <v>1</v>
      </c>
      <c r="E17" s="1" t="s">
        <v>11</v>
      </c>
      <c r="F17" s="2">
        <v>41550</v>
      </c>
      <c r="G17" s="1" t="s">
        <v>9</v>
      </c>
      <c r="H17" s="1" t="s">
        <v>9</v>
      </c>
      <c r="I17" s="1">
        <f>IF(Trips_csv[[#This Row],[status]]="completed", 0, 1)</f>
        <v>1</v>
      </c>
    </row>
    <row r="18" spans="1:9" x14ac:dyDescent="0.25">
      <c r="A18">
        <v>17</v>
      </c>
      <c r="B18">
        <v>5</v>
      </c>
      <c r="C18">
        <v>12</v>
      </c>
      <c r="D18">
        <v>1</v>
      </c>
      <c r="E18" s="1" t="s">
        <v>8</v>
      </c>
      <c r="F18" s="2">
        <v>41550</v>
      </c>
      <c r="G18" s="1" t="s">
        <v>9</v>
      </c>
      <c r="H18" s="1" t="s">
        <v>9</v>
      </c>
      <c r="I18" s="1">
        <f>IF(Trips_csv[[#This Row],[status]]="completed", 0, 1)</f>
        <v>0</v>
      </c>
    </row>
    <row r="19" spans="1:9" x14ac:dyDescent="0.25">
      <c r="A19">
        <v>19</v>
      </c>
      <c r="B19">
        <v>14</v>
      </c>
      <c r="C19">
        <v>8</v>
      </c>
      <c r="D19">
        <v>1</v>
      </c>
      <c r="E19" s="1" t="s">
        <v>10</v>
      </c>
      <c r="F19" s="2">
        <v>41548</v>
      </c>
      <c r="G19" s="1" t="s">
        <v>9</v>
      </c>
      <c r="H19" s="1" t="s">
        <v>9</v>
      </c>
      <c r="I19" s="1">
        <f>IF(Trips_csv[[#This Row],[status]]="completed", 0, 1)</f>
        <v>1</v>
      </c>
    </row>
    <row r="20" spans="1:9" x14ac:dyDescent="0.25">
      <c r="A20">
        <v>20</v>
      </c>
      <c r="B20">
        <v>15</v>
      </c>
      <c r="C20">
        <v>9</v>
      </c>
      <c r="D20">
        <v>1</v>
      </c>
      <c r="E20" s="1" t="s">
        <v>8</v>
      </c>
      <c r="F20" s="2">
        <v>41549</v>
      </c>
      <c r="G20" s="1" t="s">
        <v>9</v>
      </c>
      <c r="H20" s="1" t="s">
        <v>9</v>
      </c>
      <c r="I20" s="1">
        <f>IF(Trips_csv[[#This Row],[status]]="completed", 0, 1)</f>
        <v>0</v>
      </c>
    </row>
    <row r="21" spans="1:9" x14ac:dyDescent="0.25">
      <c r="A21">
        <v>21</v>
      </c>
      <c r="B21">
        <v>1</v>
      </c>
      <c r="C21">
        <v>10</v>
      </c>
      <c r="D21">
        <v>1</v>
      </c>
      <c r="E21" s="1" t="s">
        <v>8</v>
      </c>
      <c r="F21" s="2">
        <v>41550</v>
      </c>
      <c r="G21" s="1" t="s">
        <v>9</v>
      </c>
      <c r="H21" s="1" t="s">
        <v>9</v>
      </c>
      <c r="I21" s="1">
        <f>IF(Trips_csv[[#This Row],[status]]="completed", 0, 1)</f>
        <v>0</v>
      </c>
    </row>
    <row r="22" spans="1:9" x14ac:dyDescent="0.25">
      <c r="A22">
        <v>22</v>
      </c>
      <c r="B22">
        <v>2</v>
      </c>
      <c r="C22">
        <v>11</v>
      </c>
      <c r="D22">
        <v>1</v>
      </c>
      <c r="E22" s="1" t="s">
        <v>11</v>
      </c>
      <c r="F22" s="2">
        <v>41550</v>
      </c>
      <c r="G22" s="1" t="s">
        <v>9</v>
      </c>
      <c r="H22" s="1" t="s">
        <v>9</v>
      </c>
      <c r="I22" s="1">
        <f>IF(Trips_csv[[#This Row],[status]]="completed", 0, 1)</f>
        <v>1</v>
      </c>
    </row>
    <row r="23" spans="1:9" x14ac:dyDescent="0.25">
      <c r="A23">
        <v>23</v>
      </c>
      <c r="B23">
        <v>3</v>
      </c>
      <c r="C23">
        <v>12</v>
      </c>
      <c r="D23">
        <v>1</v>
      </c>
      <c r="E23" s="1" t="s">
        <v>8</v>
      </c>
      <c r="F23" s="2">
        <v>41548</v>
      </c>
      <c r="G23" s="1" t="s">
        <v>9</v>
      </c>
      <c r="H23" s="1" t="s">
        <v>9</v>
      </c>
      <c r="I23" s="1">
        <f>IF(Trips_csv[[#This Row],[status]]="completed", 0, 1)</f>
        <v>0</v>
      </c>
    </row>
    <row r="24" spans="1:9" x14ac:dyDescent="0.25">
      <c r="A24">
        <v>24</v>
      </c>
      <c r="B24">
        <v>4</v>
      </c>
      <c r="C24">
        <v>8</v>
      </c>
      <c r="D24">
        <v>1</v>
      </c>
      <c r="E24" s="1" t="s">
        <v>8</v>
      </c>
      <c r="F24" s="2">
        <v>41549</v>
      </c>
      <c r="G24" s="1" t="s">
        <v>9</v>
      </c>
      <c r="H24" s="1" t="s">
        <v>9</v>
      </c>
      <c r="I24" s="1">
        <f>IF(Trips_csv[[#This Row],[status]]="completed", 0, 1)</f>
        <v>0</v>
      </c>
    </row>
    <row r="25" spans="1:9" x14ac:dyDescent="0.25">
      <c r="A25">
        <v>25</v>
      </c>
      <c r="B25">
        <v>5</v>
      </c>
      <c r="C25">
        <v>9</v>
      </c>
      <c r="D25">
        <v>1</v>
      </c>
      <c r="E25" s="1" t="s">
        <v>10</v>
      </c>
      <c r="F25" s="2">
        <v>41550</v>
      </c>
      <c r="G25" s="1" t="s">
        <v>9</v>
      </c>
      <c r="H25" s="1" t="s">
        <v>9</v>
      </c>
      <c r="I25" s="1">
        <f>IF(Trips_csv[[#This Row],[status]]="completed", 0, 1)</f>
        <v>1</v>
      </c>
    </row>
    <row r="26" spans="1:9" x14ac:dyDescent="0.25">
      <c r="A26">
        <v>26</v>
      </c>
      <c r="B26">
        <v>6</v>
      </c>
      <c r="C26">
        <v>10</v>
      </c>
      <c r="D26">
        <v>1</v>
      </c>
      <c r="E26" s="1" t="s">
        <v>8</v>
      </c>
      <c r="F26" s="2">
        <v>41548</v>
      </c>
      <c r="G26" s="1" t="s">
        <v>9</v>
      </c>
      <c r="H26" s="1" t="s">
        <v>9</v>
      </c>
      <c r="I26" s="1">
        <f>IF(Trips_csv[[#This Row],[status]]="completed", 0, 1)</f>
        <v>0</v>
      </c>
    </row>
    <row r="27" spans="1:9" x14ac:dyDescent="0.25">
      <c r="A27">
        <v>27</v>
      </c>
      <c r="B27">
        <v>1</v>
      </c>
      <c r="C27">
        <v>11</v>
      </c>
      <c r="D27">
        <v>1</v>
      </c>
      <c r="E27" s="1" t="s">
        <v>8</v>
      </c>
      <c r="F27" s="2">
        <v>41549</v>
      </c>
      <c r="G27" s="1" t="s">
        <v>9</v>
      </c>
      <c r="H27" s="1" t="s">
        <v>9</v>
      </c>
      <c r="I27" s="1">
        <f>IF(Trips_csv[[#This Row],[status]]="completed", 0, 1)</f>
        <v>0</v>
      </c>
    </row>
    <row r="28" spans="1:9" x14ac:dyDescent="0.25">
      <c r="A28">
        <v>28</v>
      </c>
      <c r="B28">
        <v>2</v>
      </c>
      <c r="C28">
        <v>12</v>
      </c>
      <c r="D28">
        <v>1</v>
      </c>
      <c r="E28" s="1" t="s">
        <v>8</v>
      </c>
      <c r="F28" s="2">
        <v>41550</v>
      </c>
      <c r="G28" s="1" t="s">
        <v>9</v>
      </c>
      <c r="H28" s="1" t="s">
        <v>9</v>
      </c>
      <c r="I28" s="1">
        <f>IF(Trips_csv[[#This Row],[status]]="completed", 0, 1)</f>
        <v>0</v>
      </c>
    </row>
    <row r="29" spans="1:9" x14ac:dyDescent="0.25">
      <c r="A29">
        <v>29</v>
      </c>
      <c r="B29">
        <v>3</v>
      </c>
      <c r="C29">
        <v>8</v>
      </c>
      <c r="D29">
        <v>1</v>
      </c>
      <c r="E29" s="1" t="s">
        <v>11</v>
      </c>
      <c r="F29" s="2">
        <v>41548</v>
      </c>
      <c r="G29" s="1" t="s">
        <v>9</v>
      </c>
      <c r="H29" s="1" t="s">
        <v>9</v>
      </c>
      <c r="I29" s="1">
        <f>IF(Trips_csv[[#This Row],[status]]="completed", 0, 1)</f>
        <v>1</v>
      </c>
    </row>
    <row r="30" spans="1:9" x14ac:dyDescent="0.25">
      <c r="A30">
        <v>30</v>
      </c>
      <c r="B30">
        <v>4</v>
      </c>
      <c r="C30">
        <v>9</v>
      </c>
      <c r="D30">
        <v>1</v>
      </c>
      <c r="E30" s="1" t="s">
        <v>8</v>
      </c>
      <c r="F30" s="2">
        <v>41549</v>
      </c>
      <c r="G30" s="1" t="s">
        <v>9</v>
      </c>
      <c r="H30" s="1" t="s">
        <v>9</v>
      </c>
      <c r="I30" s="1">
        <f>IF(Trips_csv[[#This Row],[status]]="completed", 0, 1)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C5B995-0B83-47C6-89F5-F6B08ADCD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csv</vt:lpstr>
      <vt:lpstr>Trips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2026-06-17T20:22:25Z</dcterms:modified>
</cp:coreProperties>
</file>