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Org Chart Overhaul\"/>
    </mc:Choice>
  </mc:AlternateContent>
  <xr:revisionPtr revIDLastSave="0" documentId="13_ncr:1_{4E70F38E-F5BD-4717-8217-A0F5F5A85E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ficeSpace" sheetId="2" r:id="rId1"/>
    <sheet name="Sheet1" sheetId="1" r:id="rId2"/>
  </sheets>
  <definedNames>
    <definedName name="ExternalData_1" localSheetId="0" hidden="1">OfficeSpace!$A$1:$C$26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68530A-68BF-4F67-8983-2728E3EF0E07}" keepAlive="1" name="Query - OfficeSpace" description="Connection to the 'OfficeSpace' query in the workbook." type="5" refreshedVersion="8" background="1" saveData="1">
    <dbPr connection="Provider=Microsoft.Mashup.OleDb.1;Data Source=$Workbook$;Location=OfficeSpace;Extended Properties=&quot;&quot;" command="SELECT * FROM [OfficeSpace]"/>
  </connection>
</connections>
</file>

<file path=xl/sharedStrings.xml><?xml version="1.0" encoding="utf-8"?>
<sst xmlns="http://schemas.openxmlformats.org/spreadsheetml/2006/main" count="79" uniqueCount="54">
  <si>
    <t>Employee</t>
  </si>
  <si>
    <t>Manager</t>
  </si>
  <si>
    <t>Reporting Hierarchy</t>
  </si>
  <si>
    <t>Bill Lumbergh</t>
  </si>
  <si>
    <t>Bob Slydell</t>
  </si>
  <si>
    <t>Bill Lumbergh &gt; Bob Slydell</t>
  </si>
  <si>
    <t>Bob Porter</t>
  </si>
  <si>
    <t>Bill Lumbergh &gt; Bob Porter</t>
  </si>
  <si>
    <t>Linda M. Grayson</t>
  </si>
  <si>
    <t>Bill Lumbergh &gt; Linda M. Grayson</t>
  </si>
  <si>
    <t>Dom Portwood</t>
  </si>
  <si>
    <t>Bill Lumbergh &gt; Linda M. Grayson &gt; Dom Portwood</t>
  </si>
  <si>
    <t>Wendy L. Hargrove</t>
  </si>
  <si>
    <t>Bill Lumbergh &gt; Linda M. Grayson &gt; Wendy L. Hargrove</t>
  </si>
  <si>
    <t>Tom Smykowski</t>
  </si>
  <si>
    <t>Bill Lumbergh &gt; Linda M. Grayson &gt; Tom Smykowski</t>
  </si>
  <si>
    <t>Nathan R. Ross</t>
  </si>
  <si>
    <t>Bill Lumbergh &gt; Linda M. Grayson &gt; Nathan R. Ross</t>
  </si>
  <si>
    <t>Peter Gibbons</t>
  </si>
  <si>
    <t>Bill Lumbergh &gt; Linda M. Grayson &gt; Dom Portwood &gt; Peter Gibbons</t>
  </si>
  <si>
    <t>Cheryl T. Ackerman</t>
  </si>
  <si>
    <t>Bill Lumbergh &gt; Linda M. Grayson &gt; Dom Portwood &gt; Peter Gibbons &gt; Cheryl T. Ackerman</t>
  </si>
  <si>
    <t>Samir Nagheenanajar</t>
  </si>
  <si>
    <t>Bill Lumbergh &gt; Linda M. Grayson &gt; Dom Portwood &gt; Samir Nagheenanajar</t>
  </si>
  <si>
    <t>Michael Bolton</t>
  </si>
  <si>
    <t>Bill Lumbergh &gt; Linda M. Grayson &gt; Dom Portwood &gt; Samir Nagheenanajar &gt; Michael Bolton</t>
  </si>
  <si>
    <t>Nathan C. Carter</t>
  </si>
  <si>
    <t>Bill Lumbergh &gt; Linda M. Grayson &gt; Dom Portwood &gt; Nathan C. Carter</t>
  </si>
  <si>
    <t>Lydia Bennett</t>
  </si>
  <si>
    <t>Bill Lumbergh &gt; Linda M. Grayson &gt; Dom Portwood &gt; Nathan C. Carter &gt; Lydia Bennett</t>
  </si>
  <si>
    <t>Greg S. Torres</t>
  </si>
  <si>
    <t>Bill Lumbergh &gt; Linda M. Grayson &gt; Dom Portwood &gt; Nathan C. Carter &gt; Greg S. Torres</t>
  </si>
  <si>
    <t>Alice L. Munroe</t>
  </si>
  <si>
    <t>Bill Lumbergh &gt; Linda M. Grayson &gt; Dom Portwood &gt; Nathan C. Carter &gt; Alice L. Munroe</t>
  </si>
  <si>
    <t>Peggy Carlson</t>
  </si>
  <si>
    <t>Bill Lumbergh &gt; Linda M. Grayson &gt; Wendy L. Hargrove &gt; Peggy Carlson</t>
  </si>
  <si>
    <t>Anne Martinez</t>
  </si>
  <si>
    <t>Bill Lumbergh &gt; Linda M. Grayson &gt; Wendy L. Hargrove &gt; Anne Martinez</t>
  </si>
  <si>
    <t>Fred Wilkinson</t>
  </si>
  <si>
    <t>Bill Lumbergh &gt; Linda M. Grayson &gt; Wendy L. Hargrove &gt; Fred Wilkinson</t>
  </si>
  <si>
    <t>Derek P. Phillips</t>
  </si>
  <si>
    <t>Bill Lumbergh &gt; Linda M. Grayson &gt; Tom Smykowski &gt; Derek P. Phillips</t>
  </si>
  <si>
    <t>Sarah J. Greene</t>
  </si>
  <si>
    <t>Bill Lumbergh &gt; Linda M. Grayson &gt; Tom Smykowski &gt; Derek P. Phillips &gt; Sarah J. Greene</t>
  </si>
  <si>
    <t>Alan B. Peterson</t>
  </si>
  <si>
    <t>Bill Lumbergh &gt; Linda M. Grayson &gt; Nathan R. Ross &gt; Alan B. Peterson</t>
  </si>
  <si>
    <t>Maria D. Sanchez</t>
  </si>
  <si>
    <t>Bill Lumbergh &gt; Linda M. Grayson &gt; Nathan R. Ross &gt; Alan B. Peterson &gt; Maria D. Sanchez</t>
  </si>
  <si>
    <t>Bobbie K. Jenkins</t>
  </si>
  <si>
    <t>Bill Lumbergh &gt; Linda M. Grayson &gt; Nathan R. Ross &gt; Alan B. Peterson &gt; Bobbie K. Jenkins</t>
  </si>
  <si>
    <t>Milton Waddams</t>
  </si>
  <si>
    <t>Bill Lumbergh &gt; Linda M. Grayson &gt; Tom Smykowski &gt; Milton Waddams</t>
  </si>
  <si>
    <t>direct_reports</t>
  </si>
  <si>
    <t>total_reports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</si>
</sst>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6D3571-C5B4-4D65-A835-7DBF58EF4D6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Employee" tableColumnId="1"/>
      <queryTableField id="2" name="Manager" tableColumnId="2"/>
      <queryTableField id="3" name="Reporting Hierarchy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592F6-A637-4397-A056-53239E3694A9}" name="OfficeSpace" displayName="OfficeSpace" ref="A1:E26" tableType="queryTable" totalsRowShown="0">
  <autoFilter ref="A1:E26" xr:uid="{456592F6-A637-4397-A056-53239E3694A9}"/>
  <tableColumns count="5">
    <tableColumn id="1" xr3:uid="{9A268197-C910-44D4-9DC2-DD4BA1D5475C}" uniqueName="1" name="Employee" queryTableFieldId="1" dataDxfId="4"/>
    <tableColumn id="2" xr3:uid="{42A1A97C-0FF2-4C2D-92AD-31E941A85D59}" uniqueName="2" name="Manager" queryTableFieldId="2" dataDxfId="3"/>
    <tableColumn id="3" xr3:uid="{CAF8AE86-BB2F-44B2-AA19-8A285B51F1AB}" uniqueName="3" name="Reporting Hierarchy" queryTableFieldId="3" dataDxfId="2"/>
    <tableColumn id="4" xr3:uid="{4436B592-FD22-4E0E-B67F-DA9713055C98}" uniqueName="4" name="direct_reports" queryTableFieldId="4" dataDxfId="1">
      <calculatedColumnFormula>COUNTIF(OfficeSpace[Manager],OfficeSpace[[#This Row],[Employee]])</calculatedColumnFormula>
    </tableColumn>
    <tableColumn id="5" xr3:uid="{B4C5A120-A8CE-46DC-BD90-7898DB535733}" uniqueName="5" name="total_reports" queryTableFieldId="5" dataDxfId="0">
      <calculatedColumnFormula>COUNTIF(OfficeSpace[Reporting Hierarchy],OfficeSpace[[#This Row],[Reporting Hierarchy]]&amp;"*")-1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069C-E0EE-4B6D-B9DF-83B1311B9F1E}">
  <dimension ref="A1:E26"/>
  <sheetViews>
    <sheetView tabSelected="1" workbookViewId="0">
      <selection activeCell="E4" sqref="E4"/>
    </sheetView>
  </sheetViews>
  <sheetFormatPr defaultRowHeight="15" x14ac:dyDescent="0.25"/>
  <cols>
    <col min="1" max="2" width="20.140625" bestFit="1" customWidth="1"/>
    <col min="3" max="3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52</v>
      </c>
      <c r="E1" t="s">
        <v>53</v>
      </c>
    </row>
    <row r="2" spans="1:5" x14ac:dyDescent="0.25">
      <c r="A2" s="1" t="s">
        <v>3</v>
      </c>
      <c r="B2" s="1"/>
      <c r="C2" s="1" t="s">
        <v>3</v>
      </c>
      <c r="D2" s="1">
        <f>COUNTIF(OfficeSpace[Manager],OfficeSpace[[#This Row],[Employee]])</f>
        <v>3</v>
      </c>
      <c r="E2" s="1">
        <f>COUNTIF(OfficeSpace[Reporting Hierarchy],OfficeSpace[[#This Row],[Reporting Hierarchy]]&amp;"*")-1</f>
        <v>24</v>
      </c>
    </row>
    <row r="3" spans="1:5" x14ac:dyDescent="0.25">
      <c r="A3" s="1" t="s">
        <v>4</v>
      </c>
      <c r="B3" s="1" t="s">
        <v>3</v>
      </c>
      <c r="C3" s="1" t="s">
        <v>5</v>
      </c>
      <c r="D3" s="1">
        <f>COUNTIF(OfficeSpace[Manager],OfficeSpace[[#This Row],[Employee]])</f>
        <v>0</v>
      </c>
      <c r="E3" s="1">
        <f>COUNTIF(OfficeSpace[Reporting Hierarchy],OfficeSpace[[#This Row],[Reporting Hierarchy]]&amp;"*")-1</f>
        <v>0</v>
      </c>
    </row>
    <row r="4" spans="1:5" x14ac:dyDescent="0.25">
      <c r="A4" s="1" t="s">
        <v>6</v>
      </c>
      <c r="B4" s="1" t="s">
        <v>3</v>
      </c>
      <c r="C4" s="1" t="s">
        <v>7</v>
      </c>
      <c r="D4" s="1">
        <f>COUNTIF(OfficeSpace[Manager],OfficeSpace[[#This Row],[Employee]])</f>
        <v>0</v>
      </c>
      <c r="E4" s="1">
        <f>COUNTIF(OfficeSpace[Reporting Hierarchy],OfficeSpace[[#This Row],[Reporting Hierarchy]]&amp;"*")-1</f>
        <v>0</v>
      </c>
    </row>
    <row r="5" spans="1:5" x14ac:dyDescent="0.25">
      <c r="A5" s="1" t="s">
        <v>8</v>
      </c>
      <c r="B5" s="1" t="s">
        <v>3</v>
      </c>
      <c r="C5" s="1" t="s">
        <v>9</v>
      </c>
      <c r="D5" s="1">
        <f>COUNTIF(OfficeSpace[Manager],OfficeSpace[[#This Row],[Employee]])</f>
        <v>4</v>
      </c>
      <c r="E5" s="1">
        <f>COUNTIF(OfficeSpace[Reporting Hierarchy],OfficeSpace[[#This Row],[Reporting Hierarchy]]&amp;"*")-1</f>
        <v>21</v>
      </c>
    </row>
    <row r="6" spans="1:5" x14ac:dyDescent="0.25">
      <c r="A6" s="1" t="s">
        <v>10</v>
      </c>
      <c r="B6" s="1" t="s">
        <v>8</v>
      </c>
      <c r="C6" s="1" t="s">
        <v>11</v>
      </c>
      <c r="D6" s="1">
        <f>COUNTIF(OfficeSpace[Manager],OfficeSpace[[#This Row],[Employee]])</f>
        <v>3</v>
      </c>
      <c r="E6" s="1">
        <f>COUNTIF(OfficeSpace[Reporting Hierarchy],OfficeSpace[[#This Row],[Reporting Hierarchy]]&amp;"*")-1</f>
        <v>8</v>
      </c>
    </row>
    <row r="7" spans="1:5" x14ac:dyDescent="0.25">
      <c r="A7" s="1" t="s">
        <v>12</v>
      </c>
      <c r="B7" s="1" t="s">
        <v>8</v>
      </c>
      <c r="C7" s="1" t="s">
        <v>13</v>
      </c>
      <c r="D7" s="1">
        <f>COUNTIF(OfficeSpace[Manager],OfficeSpace[[#This Row],[Employee]])</f>
        <v>3</v>
      </c>
      <c r="E7" s="1">
        <f>COUNTIF(OfficeSpace[Reporting Hierarchy],OfficeSpace[[#This Row],[Reporting Hierarchy]]&amp;"*")-1</f>
        <v>3</v>
      </c>
    </row>
    <row r="8" spans="1:5" x14ac:dyDescent="0.25">
      <c r="A8" s="1" t="s">
        <v>14</v>
      </c>
      <c r="B8" s="1" t="s">
        <v>8</v>
      </c>
      <c r="C8" s="1" t="s">
        <v>15</v>
      </c>
      <c r="D8" s="1">
        <f>COUNTIF(OfficeSpace[Manager],OfficeSpace[[#This Row],[Employee]])</f>
        <v>2</v>
      </c>
      <c r="E8" s="1">
        <f>COUNTIF(OfficeSpace[Reporting Hierarchy],OfficeSpace[[#This Row],[Reporting Hierarchy]]&amp;"*")-1</f>
        <v>3</v>
      </c>
    </row>
    <row r="9" spans="1:5" x14ac:dyDescent="0.25">
      <c r="A9" s="1" t="s">
        <v>16</v>
      </c>
      <c r="B9" s="1" t="s">
        <v>8</v>
      </c>
      <c r="C9" s="1" t="s">
        <v>17</v>
      </c>
      <c r="D9" s="1">
        <f>COUNTIF(OfficeSpace[Manager],OfficeSpace[[#This Row],[Employee]])</f>
        <v>1</v>
      </c>
      <c r="E9" s="1">
        <f>COUNTIF(OfficeSpace[Reporting Hierarchy],OfficeSpace[[#This Row],[Reporting Hierarchy]]&amp;"*")-1</f>
        <v>3</v>
      </c>
    </row>
    <row r="10" spans="1:5" x14ac:dyDescent="0.25">
      <c r="A10" s="1" t="s">
        <v>18</v>
      </c>
      <c r="B10" s="1" t="s">
        <v>10</v>
      </c>
      <c r="C10" s="1" t="s">
        <v>19</v>
      </c>
      <c r="D10" s="1">
        <f>COUNTIF(OfficeSpace[Manager],OfficeSpace[[#This Row],[Employee]])</f>
        <v>1</v>
      </c>
      <c r="E10" s="1">
        <f>COUNTIF(OfficeSpace[Reporting Hierarchy],OfficeSpace[[#This Row],[Reporting Hierarchy]]&amp;"*")-1</f>
        <v>1</v>
      </c>
    </row>
    <row r="11" spans="1:5" x14ac:dyDescent="0.25">
      <c r="A11" s="1" t="s">
        <v>20</v>
      </c>
      <c r="B11" s="1" t="s">
        <v>18</v>
      </c>
      <c r="C11" s="1" t="s">
        <v>21</v>
      </c>
      <c r="D11" s="1">
        <f>COUNTIF(OfficeSpace[Manager],OfficeSpace[[#This Row],[Employee]])</f>
        <v>0</v>
      </c>
      <c r="E11" s="1">
        <f>COUNTIF(OfficeSpace[Reporting Hierarchy],OfficeSpace[[#This Row],[Reporting Hierarchy]]&amp;"*")-1</f>
        <v>0</v>
      </c>
    </row>
    <row r="12" spans="1:5" x14ac:dyDescent="0.25">
      <c r="A12" s="1" t="s">
        <v>22</v>
      </c>
      <c r="B12" s="1" t="s">
        <v>10</v>
      </c>
      <c r="C12" s="1" t="s">
        <v>23</v>
      </c>
      <c r="D12" s="1">
        <f>COUNTIF(OfficeSpace[Manager],OfficeSpace[[#This Row],[Employee]])</f>
        <v>1</v>
      </c>
      <c r="E12" s="1">
        <f>COUNTIF(OfficeSpace[Reporting Hierarchy],OfficeSpace[[#This Row],[Reporting Hierarchy]]&amp;"*")-1</f>
        <v>1</v>
      </c>
    </row>
    <row r="13" spans="1:5" x14ac:dyDescent="0.25">
      <c r="A13" s="1" t="s">
        <v>24</v>
      </c>
      <c r="B13" s="1" t="s">
        <v>22</v>
      </c>
      <c r="C13" s="1" t="s">
        <v>25</v>
      </c>
      <c r="D13" s="1">
        <f>COUNTIF(OfficeSpace[Manager],OfficeSpace[[#This Row],[Employee]])</f>
        <v>0</v>
      </c>
      <c r="E13" s="1">
        <f>COUNTIF(OfficeSpace[Reporting Hierarchy],OfficeSpace[[#This Row],[Reporting Hierarchy]]&amp;"*")-1</f>
        <v>0</v>
      </c>
    </row>
    <row r="14" spans="1:5" x14ac:dyDescent="0.25">
      <c r="A14" s="1" t="s">
        <v>26</v>
      </c>
      <c r="B14" s="1" t="s">
        <v>10</v>
      </c>
      <c r="C14" s="1" t="s">
        <v>27</v>
      </c>
      <c r="D14" s="1">
        <f>COUNTIF(OfficeSpace[Manager],OfficeSpace[[#This Row],[Employee]])</f>
        <v>3</v>
      </c>
      <c r="E14" s="1">
        <f>COUNTIF(OfficeSpace[Reporting Hierarchy],OfficeSpace[[#This Row],[Reporting Hierarchy]]&amp;"*")-1</f>
        <v>3</v>
      </c>
    </row>
    <row r="15" spans="1:5" x14ac:dyDescent="0.25">
      <c r="A15" s="1" t="s">
        <v>28</v>
      </c>
      <c r="B15" s="1" t="s">
        <v>26</v>
      </c>
      <c r="C15" s="1" t="s">
        <v>29</v>
      </c>
      <c r="D15" s="1">
        <f>COUNTIF(OfficeSpace[Manager],OfficeSpace[[#This Row],[Employee]])</f>
        <v>0</v>
      </c>
      <c r="E15" s="1">
        <f>COUNTIF(OfficeSpace[Reporting Hierarchy],OfficeSpace[[#This Row],[Reporting Hierarchy]]&amp;"*")-1</f>
        <v>0</v>
      </c>
    </row>
    <row r="16" spans="1:5" x14ac:dyDescent="0.25">
      <c r="A16" s="1" t="s">
        <v>30</v>
      </c>
      <c r="B16" s="1" t="s">
        <v>26</v>
      </c>
      <c r="C16" s="1" t="s">
        <v>31</v>
      </c>
      <c r="D16" s="1">
        <f>COUNTIF(OfficeSpace[Manager],OfficeSpace[[#This Row],[Employee]])</f>
        <v>0</v>
      </c>
      <c r="E16" s="1">
        <f>COUNTIF(OfficeSpace[Reporting Hierarchy],OfficeSpace[[#This Row],[Reporting Hierarchy]]&amp;"*")-1</f>
        <v>0</v>
      </c>
    </row>
    <row r="17" spans="1:5" x14ac:dyDescent="0.25">
      <c r="A17" s="1" t="s">
        <v>32</v>
      </c>
      <c r="B17" s="1" t="s">
        <v>26</v>
      </c>
      <c r="C17" s="1" t="s">
        <v>33</v>
      </c>
      <c r="D17" s="1">
        <f>COUNTIF(OfficeSpace[Manager],OfficeSpace[[#This Row],[Employee]])</f>
        <v>0</v>
      </c>
      <c r="E17" s="1">
        <f>COUNTIF(OfficeSpace[Reporting Hierarchy],OfficeSpace[[#This Row],[Reporting Hierarchy]]&amp;"*")-1</f>
        <v>0</v>
      </c>
    </row>
    <row r="18" spans="1:5" x14ac:dyDescent="0.25">
      <c r="A18" s="1" t="s">
        <v>34</v>
      </c>
      <c r="B18" s="1" t="s">
        <v>12</v>
      </c>
      <c r="C18" s="1" t="s">
        <v>35</v>
      </c>
      <c r="D18" s="1">
        <f>COUNTIF(OfficeSpace[Manager],OfficeSpace[[#This Row],[Employee]])</f>
        <v>0</v>
      </c>
      <c r="E18" s="1">
        <f>COUNTIF(OfficeSpace[Reporting Hierarchy],OfficeSpace[[#This Row],[Reporting Hierarchy]]&amp;"*")-1</f>
        <v>0</v>
      </c>
    </row>
    <row r="19" spans="1:5" x14ac:dyDescent="0.25">
      <c r="A19" s="1" t="s">
        <v>36</v>
      </c>
      <c r="B19" s="1" t="s">
        <v>12</v>
      </c>
      <c r="C19" s="1" t="s">
        <v>37</v>
      </c>
      <c r="D19" s="1">
        <f>COUNTIF(OfficeSpace[Manager],OfficeSpace[[#This Row],[Employee]])</f>
        <v>0</v>
      </c>
      <c r="E19" s="1">
        <f>COUNTIF(OfficeSpace[Reporting Hierarchy],OfficeSpace[[#This Row],[Reporting Hierarchy]]&amp;"*")-1</f>
        <v>0</v>
      </c>
    </row>
    <row r="20" spans="1:5" x14ac:dyDescent="0.25">
      <c r="A20" s="1" t="s">
        <v>38</v>
      </c>
      <c r="B20" s="1" t="s">
        <v>12</v>
      </c>
      <c r="C20" s="1" t="s">
        <v>39</v>
      </c>
      <c r="D20" s="1">
        <f>COUNTIF(OfficeSpace[Manager],OfficeSpace[[#This Row],[Employee]])</f>
        <v>0</v>
      </c>
      <c r="E20" s="1">
        <f>COUNTIF(OfficeSpace[Reporting Hierarchy],OfficeSpace[[#This Row],[Reporting Hierarchy]]&amp;"*")-1</f>
        <v>0</v>
      </c>
    </row>
    <row r="21" spans="1:5" x14ac:dyDescent="0.25">
      <c r="A21" s="1" t="s">
        <v>40</v>
      </c>
      <c r="B21" s="1" t="s">
        <v>14</v>
      </c>
      <c r="C21" s="1" t="s">
        <v>41</v>
      </c>
      <c r="D21" s="1">
        <f>COUNTIF(OfficeSpace[Manager],OfficeSpace[[#This Row],[Employee]])</f>
        <v>1</v>
      </c>
      <c r="E21" s="1">
        <f>COUNTIF(OfficeSpace[Reporting Hierarchy],OfficeSpace[[#This Row],[Reporting Hierarchy]]&amp;"*")-1</f>
        <v>1</v>
      </c>
    </row>
    <row r="22" spans="1:5" x14ac:dyDescent="0.25">
      <c r="A22" s="1" t="s">
        <v>42</v>
      </c>
      <c r="B22" s="1" t="s">
        <v>40</v>
      </c>
      <c r="C22" s="1" t="s">
        <v>43</v>
      </c>
      <c r="D22" s="1">
        <f>COUNTIF(OfficeSpace[Manager],OfficeSpace[[#This Row],[Employee]])</f>
        <v>0</v>
      </c>
      <c r="E22" s="1">
        <f>COUNTIF(OfficeSpace[Reporting Hierarchy],OfficeSpace[[#This Row],[Reporting Hierarchy]]&amp;"*")-1</f>
        <v>0</v>
      </c>
    </row>
    <row r="23" spans="1:5" x14ac:dyDescent="0.25">
      <c r="A23" s="1" t="s">
        <v>44</v>
      </c>
      <c r="B23" s="1" t="s">
        <v>16</v>
      </c>
      <c r="C23" s="1" t="s">
        <v>45</v>
      </c>
      <c r="D23" s="1">
        <f>COUNTIF(OfficeSpace[Manager],OfficeSpace[[#This Row],[Employee]])</f>
        <v>2</v>
      </c>
      <c r="E23" s="1">
        <f>COUNTIF(OfficeSpace[Reporting Hierarchy],OfficeSpace[[#This Row],[Reporting Hierarchy]]&amp;"*")-1</f>
        <v>2</v>
      </c>
    </row>
    <row r="24" spans="1:5" x14ac:dyDescent="0.25">
      <c r="A24" s="1" t="s">
        <v>46</v>
      </c>
      <c r="B24" s="1" t="s">
        <v>44</v>
      </c>
      <c r="C24" s="1" t="s">
        <v>47</v>
      </c>
      <c r="D24" s="1">
        <f>COUNTIF(OfficeSpace[Manager],OfficeSpace[[#This Row],[Employee]])</f>
        <v>0</v>
      </c>
      <c r="E24" s="1">
        <f>COUNTIF(OfficeSpace[Reporting Hierarchy],OfficeSpace[[#This Row],[Reporting Hierarchy]]&amp;"*")-1</f>
        <v>0</v>
      </c>
    </row>
    <row r="25" spans="1:5" x14ac:dyDescent="0.25">
      <c r="A25" s="1" t="s">
        <v>48</v>
      </c>
      <c r="B25" s="1" t="s">
        <v>44</v>
      </c>
      <c r="C25" s="1" t="s">
        <v>49</v>
      </c>
      <c r="D25" s="1">
        <f>COUNTIF(OfficeSpace[Manager],OfficeSpace[[#This Row],[Employee]])</f>
        <v>0</v>
      </c>
      <c r="E25" s="1">
        <f>COUNTIF(OfficeSpace[Reporting Hierarchy],OfficeSpace[[#This Row],[Reporting Hierarchy]]&amp;"*")-1</f>
        <v>0</v>
      </c>
    </row>
    <row r="26" spans="1:5" x14ac:dyDescent="0.25">
      <c r="A26" s="1" t="s">
        <v>50</v>
      </c>
      <c r="B26" s="1" t="s">
        <v>14</v>
      </c>
      <c r="C26" s="1" t="s">
        <v>51</v>
      </c>
      <c r="D26" s="1">
        <f>COUNTIF(OfficeSpace[Manager],OfficeSpace[[#This Row],[Employee]])</f>
        <v>0</v>
      </c>
      <c r="E26" s="1">
        <f>COUNTIF(OfficeSpace[Reporting Hierarchy],OfficeSpace[[#This Row],[Reporting Hierarchy]]&amp;"*")-1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DA2D88-C711-4B29-813A-C5C5E5A3B0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OfficeSpace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2026-08-11T17:31:15Z</dcterms:modified>
</cp:coreProperties>
</file>