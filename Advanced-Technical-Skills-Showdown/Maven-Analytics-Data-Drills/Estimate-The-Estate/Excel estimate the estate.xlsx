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Etudes\projects\data drills maven\Estimate The Estate\"/>
    </mc:Choice>
  </mc:AlternateContent>
  <xr:revisionPtr revIDLastSave="0" documentId="13_ncr:1_{4D81BC7B-C277-4A85-9E3E-CD58B7EC4E9C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average value" sheetId="3" r:id="rId1"/>
    <sheet name="manhattan_property_sales" sheetId="2" r:id="rId2"/>
    <sheet name="Sheet1" sheetId="4" r:id="rId3"/>
  </sheets>
  <definedNames>
    <definedName name="ExternalData_1" localSheetId="1" hidden="1">manhattan_property_sales!$A$1:$G$142</definedName>
    <definedName name="ExternalData_2" localSheetId="0" hidden="1">'average value'!$A$1:$C$36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" i="4" l="1"/>
  <c r="I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H2" i="2" a="1"/>
  <c r="H2" i="2" s="1"/>
  <c r="H3" i="2" a="1"/>
  <c r="H3" i="2" s="1"/>
  <c r="H4" i="2" a="1"/>
  <c r="H4" i="2" s="1"/>
  <c r="H5" i="2" a="1"/>
  <c r="H5" i="2" s="1"/>
  <c r="H6" i="2" a="1"/>
  <c r="H6" i="2" s="1"/>
  <c r="H7" i="2" a="1"/>
  <c r="H7" i="2" s="1"/>
  <c r="H8" i="2" a="1"/>
  <c r="H8" i="2" s="1"/>
  <c r="H9" i="2" a="1"/>
  <c r="H9" i="2" s="1"/>
  <c r="H10" i="2" a="1"/>
  <c r="H10" i="2" s="1"/>
  <c r="H11" i="2" a="1"/>
  <c r="H11" i="2" s="1"/>
  <c r="H12" i="2" a="1"/>
  <c r="H12" i="2" s="1"/>
  <c r="H13" i="2" a="1"/>
  <c r="H13" i="2" s="1"/>
  <c r="H14" i="2" a="1"/>
  <c r="H14" i="2" s="1"/>
  <c r="H15" i="2" a="1"/>
  <c r="H15" i="2" s="1"/>
  <c r="H16" i="2" a="1"/>
  <c r="H16" i="2" s="1"/>
  <c r="H17" i="2" a="1"/>
  <c r="H17" i="2"/>
  <c r="H18" i="2" a="1"/>
  <c r="H18" i="2" s="1"/>
  <c r="H19" i="2" a="1"/>
  <c r="H19" i="2" s="1"/>
  <c r="H20" i="2" a="1"/>
  <c r="H20" i="2" s="1"/>
  <c r="H21" i="2" a="1"/>
  <c r="H21" i="2"/>
  <c r="H22" i="2" a="1"/>
  <c r="H22" i="2" s="1"/>
  <c r="H23" i="2" a="1"/>
  <c r="H23" i="2" s="1"/>
  <c r="H24" i="2" a="1"/>
  <c r="H24" i="2" s="1"/>
  <c r="H25" i="2" a="1"/>
  <c r="H25" i="2"/>
  <c r="H26" i="2" a="1"/>
  <c r="H26" i="2" s="1"/>
  <c r="H27" i="2" a="1"/>
  <c r="H27" i="2" s="1"/>
  <c r="H28" i="2" a="1"/>
  <c r="H28" i="2" s="1"/>
  <c r="H29" i="2" a="1"/>
  <c r="H29" i="2" s="1"/>
  <c r="H30" i="2" a="1"/>
  <c r="H30" i="2" s="1"/>
  <c r="H31" i="2" a="1"/>
  <c r="H31" i="2" s="1"/>
  <c r="H32" i="2" a="1"/>
  <c r="H32" i="2" s="1"/>
  <c r="H33" i="2" a="1"/>
  <c r="H33" i="2" s="1"/>
  <c r="H34" i="2" a="1"/>
  <c r="H34" i="2" s="1"/>
  <c r="H35" i="2" a="1"/>
  <c r="H35" i="2" s="1"/>
  <c r="H36" i="2" a="1"/>
  <c r="H36" i="2" s="1"/>
  <c r="H37" i="2" a="1"/>
  <c r="H37" i="2"/>
  <c r="H38" i="2" a="1"/>
  <c r="H38" i="2" s="1"/>
  <c r="H39" i="2" a="1"/>
  <c r="H39" i="2" s="1"/>
  <c r="H40" i="2" a="1"/>
  <c r="H40" i="2" s="1"/>
  <c r="H41" i="2" a="1"/>
  <c r="H41" i="2" s="1"/>
  <c r="H42" i="2" a="1"/>
  <c r="H42" i="2" s="1"/>
  <c r="H43" i="2" a="1"/>
  <c r="H43" i="2" s="1"/>
  <c r="H44" i="2" a="1"/>
  <c r="H44" i="2" s="1"/>
  <c r="H45" i="2" a="1"/>
  <c r="H45" i="2" s="1"/>
  <c r="H46" i="2" a="1"/>
  <c r="H46" i="2" s="1"/>
  <c r="H47" i="2" a="1"/>
  <c r="H47" i="2" s="1"/>
  <c r="H48" i="2" a="1"/>
  <c r="H48" i="2" s="1"/>
  <c r="H49" i="2" a="1"/>
  <c r="H49" i="2"/>
  <c r="H50" i="2" a="1"/>
  <c r="H50" i="2" s="1"/>
  <c r="H51" i="2" a="1"/>
  <c r="H51" i="2" s="1"/>
  <c r="H52" i="2" a="1"/>
  <c r="H52" i="2" s="1"/>
  <c r="H53" i="2" a="1"/>
  <c r="H53" i="2"/>
  <c r="H54" i="2" a="1"/>
  <c r="H54" i="2" s="1"/>
  <c r="H55" i="2" a="1"/>
  <c r="H55" i="2" s="1"/>
  <c r="H56" i="2" a="1"/>
  <c r="H56" i="2" s="1"/>
  <c r="H57" i="2" a="1"/>
  <c r="H57" i="2"/>
  <c r="H58" i="2" a="1"/>
  <c r="H58" i="2" s="1"/>
  <c r="H59" i="2" a="1"/>
  <c r="H59" i="2" s="1"/>
  <c r="H60" i="2" a="1"/>
  <c r="H60" i="2" s="1"/>
  <c r="H61" i="2" a="1"/>
  <c r="H61" i="2"/>
  <c r="H62" i="2" a="1"/>
  <c r="H62" i="2" s="1"/>
  <c r="H63" i="2" a="1"/>
  <c r="H63" i="2" s="1"/>
  <c r="H64" i="2" a="1"/>
  <c r="H64" i="2" s="1"/>
  <c r="H65" i="2" a="1"/>
  <c r="H65" i="2" s="1"/>
  <c r="H66" i="2" a="1"/>
  <c r="H66" i="2" s="1"/>
  <c r="H67" i="2" a="1"/>
  <c r="H67" i="2" s="1"/>
  <c r="H68" i="2" a="1"/>
  <c r="H68" i="2" s="1"/>
  <c r="H69" i="2" a="1"/>
  <c r="H69" i="2"/>
  <c r="H70" i="2" a="1"/>
  <c r="H70" i="2" s="1"/>
  <c r="H71" i="2" a="1"/>
  <c r="H71" i="2" s="1"/>
  <c r="H72" i="2" a="1"/>
  <c r="H72" i="2" s="1"/>
  <c r="H73" i="2" a="1"/>
  <c r="H73" i="2" s="1"/>
  <c r="H74" i="2" a="1"/>
  <c r="H74" i="2" s="1"/>
  <c r="H75" i="2" a="1"/>
  <c r="H75" i="2" s="1"/>
  <c r="H76" i="2" a="1"/>
  <c r="H76" i="2" s="1"/>
  <c r="H77" i="2" a="1"/>
  <c r="H77" i="2" s="1"/>
  <c r="H78" i="2" a="1"/>
  <c r="H78" i="2" s="1"/>
  <c r="H79" i="2" a="1"/>
  <c r="H79" i="2" s="1"/>
  <c r="H80" i="2" a="1"/>
  <c r="H80" i="2" s="1"/>
  <c r="H81" i="2" a="1"/>
  <c r="H81" i="2" s="1"/>
  <c r="H82" i="2" a="1"/>
  <c r="H82" i="2" s="1"/>
  <c r="H83" i="2" a="1"/>
  <c r="H83" i="2" s="1"/>
  <c r="H84" i="2" a="1"/>
  <c r="H84" i="2" s="1"/>
  <c r="H85" i="2" a="1"/>
  <c r="H85" i="2"/>
  <c r="H86" i="2" a="1"/>
  <c r="H86" i="2" s="1"/>
  <c r="H87" i="2" a="1"/>
  <c r="H87" i="2" s="1"/>
  <c r="H88" i="2" a="1"/>
  <c r="H88" i="2" s="1"/>
  <c r="H89" i="2" a="1"/>
  <c r="H89" i="2"/>
  <c r="H90" i="2" a="1"/>
  <c r="H90" i="2" s="1"/>
  <c r="H91" i="2" a="1"/>
  <c r="H91" i="2" s="1"/>
  <c r="H92" i="2" a="1"/>
  <c r="H92" i="2" s="1"/>
  <c r="H93" i="2" a="1"/>
  <c r="H93" i="2" s="1"/>
  <c r="H94" i="2" a="1"/>
  <c r="H94" i="2" s="1"/>
  <c r="H95" i="2" a="1"/>
  <c r="H95" i="2" s="1"/>
  <c r="H96" i="2" a="1"/>
  <c r="H96" i="2" s="1"/>
  <c r="H97" i="2" a="1"/>
  <c r="H97" i="2" s="1"/>
  <c r="H98" i="2" a="1"/>
  <c r="H98" i="2" s="1"/>
  <c r="H99" i="2" a="1"/>
  <c r="H99" i="2" s="1"/>
  <c r="H100" i="2" a="1"/>
  <c r="H100" i="2" s="1"/>
  <c r="H101" i="2" a="1"/>
  <c r="H101" i="2"/>
  <c r="H102" i="2" a="1"/>
  <c r="H102" i="2" s="1"/>
  <c r="H103" i="2" a="1"/>
  <c r="H103" i="2" s="1"/>
  <c r="H104" i="2" a="1"/>
  <c r="H104" i="2" s="1"/>
  <c r="H105" i="2" a="1"/>
  <c r="H105" i="2" s="1"/>
  <c r="H106" i="2" a="1"/>
  <c r="H106" i="2" s="1"/>
  <c r="H107" i="2" a="1"/>
  <c r="H107" i="2" s="1"/>
  <c r="H108" i="2" a="1"/>
  <c r="H108" i="2" s="1"/>
  <c r="H109" i="2" a="1"/>
  <c r="H109" i="2" s="1"/>
  <c r="H110" i="2" a="1"/>
  <c r="H110" i="2" s="1"/>
  <c r="H111" i="2" a="1"/>
  <c r="H111" i="2" s="1"/>
  <c r="H112" i="2" a="1"/>
  <c r="H112" i="2" s="1"/>
  <c r="H113" i="2" a="1"/>
  <c r="H113" i="2" s="1"/>
  <c r="H114" i="2" a="1"/>
  <c r="H114" i="2" s="1"/>
  <c r="H115" i="2" a="1"/>
  <c r="H115" i="2" s="1"/>
  <c r="H116" i="2" a="1"/>
  <c r="H116" i="2" s="1"/>
  <c r="H117" i="2" a="1"/>
  <c r="H117" i="2"/>
  <c r="H118" i="2" a="1"/>
  <c r="H118" i="2" s="1"/>
  <c r="H119" i="2" a="1"/>
  <c r="H119" i="2" s="1"/>
  <c r="H120" i="2" a="1"/>
  <c r="H120" i="2" s="1"/>
  <c r="H121" i="2" a="1"/>
  <c r="H121" i="2"/>
  <c r="H122" i="2" a="1"/>
  <c r="H122" i="2" s="1"/>
  <c r="H123" i="2" a="1"/>
  <c r="H123" i="2" s="1"/>
  <c r="H124" i="2" a="1"/>
  <c r="H124" i="2" s="1"/>
  <c r="H125" i="2" a="1"/>
  <c r="H125" i="2" s="1"/>
  <c r="H126" i="2" a="1"/>
  <c r="H126" i="2" s="1"/>
  <c r="H127" i="2" a="1"/>
  <c r="H127" i="2" s="1"/>
  <c r="H128" i="2" a="1"/>
  <c r="H128" i="2" s="1"/>
  <c r="H129" i="2" a="1"/>
  <c r="H129" i="2" s="1"/>
  <c r="H130" i="2" a="1"/>
  <c r="H130" i="2" s="1"/>
  <c r="H131" i="2" a="1"/>
  <c r="H131" i="2" s="1"/>
  <c r="H132" i="2" a="1"/>
  <c r="H132" i="2" s="1"/>
  <c r="H133" i="2" a="1"/>
  <c r="H133" i="2" s="1"/>
  <c r="H134" i="2" a="1"/>
  <c r="H134" i="2" s="1"/>
  <c r="H135" i="2" a="1"/>
  <c r="H135" i="2" s="1"/>
  <c r="H136" i="2" a="1"/>
  <c r="H136" i="2" s="1"/>
  <c r="H137" i="2" a="1"/>
  <c r="H137" i="2"/>
  <c r="H138" i="2" a="1"/>
  <c r="H138" i="2" s="1"/>
  <c r="H139" i="2" a="1"/>
  <c r="H139" i="2" s="1"/>
  <c r="H140" i="2" a="1"/>
  <c r="H140" i="2" s="1"/>
  <c r="H141" i="2" a="1"/>
  <c r="H141" i="2"/>
  <c r="H142" i="2" a="1"/>
  <c r="H142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A4D1916-B560-43CD-8415-CE157503CFF7}" keepAlive="1" name="Query - average value" description="Connection to the 'average value' query in the workbook." type="5" refreshedVersion="8" background="1" saveData="1">
    <dbPr connection="Provider=Microsoft.Mashup.OleDb.1;Data Source=$Workbook$;Location=&quot;average value&quot;;Extended Properties=&quot;&quot;" command="SELECT * FROM [average value]"/>
  </connection>
  <connection id="2" xr16:uid="{B49C6B99-B7CF-45B7-B069-33EF56B7D4EF}" keepAlive="1" name="Query - manhattan_property_sales" description="Connection to the 'manhattan_property_sales' query in the workbook." type="5" refreshedVersion="8" background="1" saveData="1">
    <dbPr connection="Provider=Microsoft.Mashup.OleDb.1;Data Source=$Workbook$;Location=manhattan_property_sales;Extended Properties=&quot;&quot;" command="SELECT * FROM [manhattan_property_sales]"/>
  </connection>
</connections>
</file>

<file path=xl/sharedStrings.xml><?xml version="1.0" encoding="utf-8"?>
<sst xmlns="http://schemas.openxmlformats.org/spreadsheetml/2006/main" count="471" uniqueCount="163">
  <si>
    <t>NEIGHBORHOOD</t>
  </si>
  <si>
    <t>ADDRESS</t>
  </si>
  <si>
    <t>ZIP_CODE</t>
  </si>
  <si>
    <t>BUILDING_CLASS</t>
  </si>
  <si>
    <t>SQUARE_FEET</t>
  </si>
  <si>
    <t>SALE_PRICE</t>
  </si>
  <si>
    <t>Price/sqrft</t>
  </si>
  <si>
    <t>CHELSEA</t>
  </si>
  <si>
    <t>150 WEST 15TH STREET</t>
  </si>
  <si>
    <t>A4</t>
  </si>
  <si>
    <t>348 WEST 22 STREET</t>
  </si>
  <si>
    <t>204 WEST 21ST STREET</t>
  </si>
  <si>
    <t>481 WEST 22 STREET</t>
  </si>
  <si>
    <t>344 W 22 STREET</t>
  </si>
  <si>
    <t>304 WEST 18TH STREET</t>
  </si>
  <si>
    <t>224 WEST 22ND STREET</t>
  </si>
  <si>
    <t>A9</t>
  </si>
  <si>
    <t>217 WEST 20 STREET</t>
  </si>
  <si>
    <t>GRAMERCY</t>
  </si>
  <si>
    <t>143 EAST 18 STREET</t>
  </si>
  <si>
    <t>135 EAST 18TH STREET</t>
  </si>
  <si>
    <t>128 EAST 19 STREET</t>
  </si>
  <si>
    <t>135 EAST 19 STREET</t>
  </si>
  <si>
    <t>144 EAST 19TH STREET</t>
  </si>
  <si>
    <t>GREENWICH VILLAGE</t>
  </si>
  <si>
    <t>38 WEST 12</t>
  </si>
  <si>
    <t>110 WEST 13TH STREET</t>
  </si>
  <si>
    <t>11 WEST 12TH ST</t>
  </si>
  <si>
    <t>152 WEST 13 STREET</t>
  </si>
  <si>
    <t>A5</t>
  </si>
  <si>
    <t>6 MAC DOUGAL ALLEY</t>
  </si>
  <si>
    <t>19 DOWNING STREET</t>
  </si>
  <si>
    <t>244 WEST 12TH ST</t>
  </si>
  <si>
    <t>77 BEDFORD STREET</t>
  </si>
  <si>
    <t>36 LEROY STREET</t>
  </si>
  <si>
    <t>370 WEST 11 STREET</t>
  </si>
  <si>
    <t>399 WEST STREET</t>
  </si>
  <si>
    <t>246 WEST 12TH STREET</t>
  </si>
  <si>
    <t>230 WEST 11TH STREET</t>
  </si>
  <si>
    <t>310 WEST 11 STREET</t>
  </si>
  <si>
    <t>85 CHARLES STREET</t>
  </si>
  <si>
    <t>262 WEST 12 STREET</t>
  </si>
  <si>
    <t>256 WEST 4TH STREET</t>
  </si>
  <si>
    <t>75 1/2 BEDFORD STREET</t>
  </si>
  <si>
    <t>63 CHARLES STREET</t>
  </si>
  <si>
    <t>39 BARROW ST</t>
  </si>
  <si>
    <t>39 BARROW STREET</t>
  </si>
  <si>
    <t>HARLEM</t>
  </si>
  <si>
    <t>221 WEST 113 STREET</t>
  </si>
  <si>
    <t>109 WEST 118TH ST</t>
  </si>
  <si>
    <t>240 WEST 121 STREET</t>
  </si>
  <si>
    <t>115 WEST 122 STREET</t>
  </si>
  <si>
    <t>149 WEST 126 STREET</t>
  </si>
  <si>
    <t>133 WEST 123 STREET</t>
  </si>
  <si>
    <t>117 WEST 120TH STREET</t>
  </si>
  <si>
    <t>122 WEST 132ND STREET</t>
  </si>
  <si>
    <t>353 WEST 122 STREET</t>
  </si>
  <si>
    <t>233 WEST 138TH STREET</t>
  </si>
  <si>
    <t>205 WEST 139TH STREET</t>
  </si>
  <si>
    <t>256 WEST 139 STREET</t>
  </si>
  <si>
    <t>231 WEST 139 STREET</t>
  </si>
  <si>
    <t>265 WEST 139 STREET</t>
  </si>
  <si>
    <t>27 HAMILTON TERRACE</t>
  </si>
  <si>
    <t>465 WEST 141ST STREET</t>
  </si>
  <si>
    <t>8 HAMILTON TERRACE</t>
  </si>
  <si>
    <t>3 EAST 128 STREET</t>
  </si>
  <si>
    <t>INWOOD</t>
  </si>
  <si>
    <t>88 TERRACE VIEW AVENUE</t>
  </si>
  <si>
    <t>A1</t>
  </si>
  <si>
    <t>51 ADRIAN AVENUE</t>
  </si>
  <si>
    <t>24 FT CHARLES PLACE</t>
  </si>
  <si>
    <t>49 MARBLE HILL AVENUE</t>
  </si>
  <si>
    <t>MIDTOWN</t>
  </si>
  <si>
    <t>242 EAST 49TH STREET</t>
  </si>
  <si>
    <t>345 WEST 54TH STREET</t>
  </si>
  <si>
    <t>MURRAY HILL</t>
  </si>
  <si>
    <t>133 EAST 38 STREET</t>
  </si>
  <si>
    <t>6 SNIFFEN COURT</t>
  </si>
  <si>
    <t>129 EAST 35 STREET</t>
  </si>
  <si>
    <t>UPPER EAST SIDE</t>
  </si>
  <si>
    <t>340 E 69 ST</t>
  </si>
  <si>
    <t>328 EAST 69 STREET</t>
  </si>
  <si>
    <t>711 PARK AVENUE</t>
  </si>
  <si>
    <t>352 EAST 69TH STREET</t>
  </si>
  <si>
    <t>180 EAST 75TH ST</t>
  </si>
  <si>
    <t>161 EAST 74TH STREET</t>
  </si>
  <si>
    <t>155 EAST 70 STREET</t>
  </si>
  <si>
    <t>41 EAST 74TH STREET</t>
  </si>
  <si>
    <t>171 EAST 73 STREET</t>
  </si>
  <si>
    <t>127 EAST 73RD STREET</t>
  </si>
  <si>
    <t>18 EAST 71 STREET</t>
  </si>
  <si>
    <t>238 EAST 72 STREET</t>
  </si>
  <si>
    <t>123 EAST 69 STREET</t>
  </si>
  <si>
    <t>7 EAST 69 STREET</t>
  </si>
  <si>
    <t>A7</t>
  </si>
  <si>
    <t>209 EAST 71 STREET</t>
  </si>
  <si>
    <t>152 EAST END AVENUE</t>
  </si>
  <si>
    <t>129 EAST 81ST STREET</t>
  </si>
  <si>
    <t>161 EAST 82ND STREET</t>
  </si>
  <si>
    <t>308 EAST 81ST STREET</t>
  </si>
  <si>
    <t>48 EAST 81 STREET</t>
  </si>
  <si>
    <t>148 EAST END AVENUE</t>
  </si>
  <si>
    <t>144 EAST END AVENUE</t>
  </si>
  <si>
    <t>143 EAST 63 STREET</t>
  </si>
  <si>
    <t>57 E 66TH STREET</t>
  </si>
  <si>
    <t>163 EAST 65 STREET</t>
  </si>
  <si>
    <t>166 EAST 64 STREET</t>
  </si>
  <si>
    <t>164 EAST 66 STREET</t>
  </si>
  <si>
    <t>211 EAST 62ND STREET</t>
  </si>
  <si>
    <t>16 EAST 64TH STREET</t>
  </si>
  <si>
    <t>167 E 65TH STREET</t>
  </si>
  <si>
    <t>10 EAST 67 STREET</t>
  </si>
  <si>
    <t>124 EAST 62ND STREET</t>
  </si>
  <si>
    <t>157 EAST 65</t>
  </si>
  <si>
    <t>10 EAST 64 STREET</t>
  </si>
  <si>
    <t>8 EAST 62ND STREET</t>
  </si>
  <si>
    <t>36 EAST 63RD STREET</t>
  </si>
  <si>
    <t>973 FIFTH AVENUE</t>
  </si>
  <si>
    <t>181 EAST 80TH STREET</t>
  </si>
  <si>
    <t>163 EAST 78 STREET</t>
  </si>
  <si>
    <t>175 EAST 78 STREET</t>
  </si>
  <si>
    <t>156 EAST 78 STREET</t>
  </si>
  <si>
    <t>22 EAST 78 STREET</t>
  </si>
  <si>
    <t>61 EAST 80 STREET</t>
  </si>
  <si>
    <t>4 EAST 80TH STREET</t>
  </si>
  <si>
    <t>169 EAST 79TH STREET</t>
  </si>
  <si>
    <t>17 EAST 92ND STREET</t>
  </si>
  <si>
    <t>62 EAST 91ST STREET</t>
  </si>
  <si>
    <t>67 EAST 91 STREET</t>
  </si>
  <si>
    <t>164 EAST 93 STREET</t>
  </si>
  <si>
    <t>534 EAST 87 STREET</t>
  </si>
  <si>
    <t>552 EAST 87TH STREET</t>
  </si>
  <si>
    <t>138 EAST 95 STREET</t>
  </si>
  <si>
    <t>13 EAST 94TH STREET</t>
  </si>
  <si>
    <t>162 EAST 92ND STREET</t>
  </si>
  <si>
    <t>522 EAST 89 STREET</t>
  </si>
  <si>
    <t>307 EAST 87TH STREET</t>
  </si>
  <si>
    <t>133 EAST 92ND ST</t>
  </si>
  <si>
    <t>131 EAST 95 STREET</t>
  </si>
  <si>
    <t>532 EAST 87TH STREET</t>
  </si>
  <si>
    <t>131 EAST 92 STREET</t>
  </si>
  <si>
    <t>UPPER WEST SIDE</t>
  </si>
  <si>
    <t>161 WEST 73 STREET</t>
  </si>
  <si>
    <t>311 WEST 74 STREET</t>
  </si>
  <si>
    <t>131 WEST 70 STREET</t>
  </si>
  <si>
    <t>21 WEST 70TH STREET</t>
  </si>
  <si>
    <t>226 WEST 71ST STREET</t>
  </si>
  <si>
    <t>37 WEST 74 STREET</t>
  </si>
  <si>
    <t>38 WEST 87TH STREET</t>
  </si>
  <si>
    <t>337 WEST 87 STREET</t>
  </si>
  <si>
    <t>308 WEST 88 STREET</t>
  </si>
  <si>
    <t>332 WEST 77TH STREET</t>
  </si>
  <si>
    <t>133 WEST 78 STREET</t>
  </si>
  <si>
    <t>125 WEST 87TH STREET</t>
  </si>
  <si>
    <t>324 WEST 85 STREET</t>
  </si>
  <si>
    <t>52 WEST 84TH STREET</t>
  </si>
  <si>
    <t>315 WEST 84 STREET</t>
  </si>
  <si>
    <t>WASHINGTON HEIGHTS</t>
  </si>
  <si>
    <t>11 SYLVAN TERRACE</t>
  </si>
  <si>
    <t>avg_price/sqrft</t>
  </si>
  <si>
    <t>Estimated $/sqrft</t>
  </si>
  <si>
    <t>Market_value</t>
  </si>
  <si>
    <t>Market Values Over 15M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</si>
</sst>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1" fontId="0" fillId="0" borderId="0" xfId="0" applyNumberFormat="1"/>
    <xf numFmtId="49" fontId="0" fillId="0" borderId="0" xfId="0" applyNumberFormat="1"/>
    <xf numFmtId="0" fontId="0" fillId="2" borderId="0" xfId="0" applyFill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30" formatCode="@"/>
    </dxf>
    <dxf>
      <numFmt numFmtId="1" formatCode="0"/>
    </dxf>
    <dxf>
      <numFmt numFmtId="30" formatCode="@"/>
    </dxf>
    <dxf>
      <numFmt numFmtId="1" formatCode="0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CC47BC10-9B13-4A72-9297-B1168AC548B2}" autoFormatId="16" applyNumberFormats="0" applyBorderFormats="0" applyFontFormats="0" applyPatternFormats="0" applyAlignmentFormats="0" applyWidthHeightFormats="0">
  <queryTableRefresh nextId="4">
    <queryTableFields count="3">
      <queryTableField id="1" name="ZIP_CODE" tableColumnId="1"/>
      <queryTableField id="2" name="BUILDING_CLASS" tableColumnId="2"/>
      <queryTableField id="3" name="avg_price/sqrft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9B701233-895E-41DF-8B54-D3B099732191}" autoFormatId="16" applyNumberFormats="0" applyBorderFormats="0" applyFontFormats="0" applyPatternFormats="0" applyAlignmentFormats="0" applyWidthHeightFormats="0">
  <queryTableRefresh nextId="10" unboundColumnsRight="2">
    <queryTableFields count="9">
      <queryTableField id="1" name="NEIGHBORHOOD" tableColumnId="1"/>
      <queryTableField id="2" name="ADDRESS" tableColumnId="2"/>
      <queryTableField id="3" name="ZIP_CODE" tableColumnId="3"/>
      <queryTableField id="4" name="BUILDING_CLASS" tableColumnId="4"/>
      <queryTableField id="5" name="SQUARE_FEET" tableColumnId="5"/>
      <queryTableField id="6" name="SALE_PRICE" tableColumnId="6"/>
      <queryTableField id="7" name="Price/sqrft" tableColumnId="7"/>
      <queryTableField id="8" dataBound="0" tableColumnId="8"/>
      <queryTableField id="9" dataBound="0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B31279-A689-46DF-B856-FB760D5394A3}" name="average_value" displayName="average_value" ref="A1:C36" tableType="queryTable" totalsRowShown="0">
  <autoFilter ref="A1:C36" xr:uid="{04B31279-A689-46DF-B856-FB760D5394A3}"/>
  <tableColumns count="3">
    <tableColumn id="1" xr3:uid="{7969BF43-8C56-4ED6-9114-CF9F3D3DFC23}" uniqueName="1" name="ZIP_CODE" queryTableFieldId="1" dataDxfId="3"/>
    <tableColumn id="2" xr3:uid="{0F935E68-1BBF-410E-A103-A657B59AFE62}" uniqueName="2" name="BUILDING_CLASS" queryTableFieldId="2" dataDxfId="2"/>
    <tableColumn id="3" xr3:uid="{505983B0-FCFB-4262-BD9E-6853FB5B6F04}" uniqueName="3" name="avg_price/sqrft" queryTableField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EC3259-9DCE-4B35-852C-7E9B145F6E35}" name="manhattan_property_sales" displayName="manhattan_property_sales" ref="A1:I142" tableType="queryTable" totalsRowShown="0">
  <autoFilter ref="A1:I142" xr:uid="{A4EC3259-9DCE-4B35-852C-7E9B145F6E35}"/>
  <tableColumns count="9">
    <tableColumn id="1" xr3:uid="{EF69245F-B62F-4A1C-9CC1-3B6757AC100A}" uniqueName="1" name="NEIGHBORHOOD" queryTableFieldId="1" dataDxfId="7"/>
    <tableColumn id="2" xr3:uid="{1AF5BA64-097A-4165-B3D8-B8EB5B6146F6}" uniqueName="2" name="ADDRESS" queryTableFieldId="2" dataDxfId="6"/>
    <tableColumn id="3" xr3:uid="{889E1C17-350C-4B6A-B894-E9B660C6CC5C}" uniqueName="3" name="ZIP_CODE" queryTableFieldId="3" dataDxfId="5"/>
    <tableColumn id="4" xr3:uid="{6CC30320-E95D-4D5A-B127-0AD20A7FF8A3}" uniqueName="4" name="BUILDING_CLASS" queryTableFieldId="4" dataDxfId="4"/>
    <tableColumn id="5" xr3:uid="{1411934F-6864-48CF-96B7-64E8168EE536}" uniqueName="5" name="SQUARE_FEET" queryTableFieldId="5"/>
    <tableColumn id="6" xr3:uid="{EFF932E9-D465-455D-844A-DEFD231B025C}" uniqueName="6" name="SALE_PRICE" queryTableFieldId="6"/>
    <tableColumn id="7" xr3:uid="{7CAA68A1-E942-4686-AD41-498A9D3CB6C3}" uniqueName="7" name="Price/sqrft" queryTableFieldId="7"/>
    <tableColumn id="8" xr3:uid="{767F8FC9-9A35-419E-96CB-CF36F9F7A373}" uniqueName="8" name="Estimated $/sqrft" queryTableFieldId="8" dataDxfId="1">
      <calculatedColumnFormula array="1">IF(manhattan_property_sales[[#This Row],[Price/sqrft]]&gt;0, manhattan_property_sales[[#This Row],[Price/sqrft]], INDEX(average_value[avg_price/sqrft], MATCH(1, (average_value[ZIP_CODE]=manhattan_property_sales[[#This Row],[ZIP_CODE]])*(average_value[BUILDING_CLASS]=manhattan_property_sales[[#This Row],[BUILDING_CLASS]]), 0)) )</calculatedColumnFormula>
    </tableColumn>
    <tableColumn id="9" xr3:uid="{936C5BC9-CF4A-4BD8-A65E-84BD3C6057B6}" uniqueName="9" name="Market_value" queryTableFieldId="9" dataDxfId="0">
      <calculatedColumnFormula>IF(manhattan_property_sales[[#This Row],[SALE_PRICE]]&gt;0, manhattan_property_sales[[#This Row],[SALE_PRICE]], manhattan_property_sales[[#This Row],[SQUARE_FEET]] * manhattan_property_sales[[#This Row],[Estimated $/sqrft]])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E0965-299B-4A18-AB27-7D3E1A65A8F2}">
  <dimension ref="A1:C36"/>
  <sheetViews>
    <sheetView workbookViewId="0">
      <selection activeCell="B1" sqref="B1:B1048576"/>
    </sheetView>
  </sheetViews>
  <sheetFormatPr defaultRowHeight="15" x14ac:dyDescent="0.25"/>
  <cols>
    <col min="1" max="1" width="11.85546875" style="2" bestFit="1" customWidth="1"/>
    <col min="2" max="2" width="18.42578125" style="3" bestFit="1" customWidth="1"/>
    <col min="3" max="3" width="16.85546875" bestFit="1" customWidth="1"/>
  </cols>
  <sheetData>
    <row r="1" spans="1:3" x14ac:dyDescent="0.25">
      <c r="A1" s="2" t="s">
        <v>2</v>
      </c>
      <c r="B1" s="3" t="s">
        <v>3</v>
      </c>
      <c r="C1" t="s">
        <v>159</v>
      </c>
    </row>
    <row r="2" spans="1:3" x14ac:dyDescent="0.25">
      <c r="A2" s="2">
        <v>10011</v>
      </c>
      <c r="B2" s="3" t="s">
        <v>9</v>
      </c>
      <c r="C2">
        <v>2668.2741000000001</v>
      </c>
    </row>
    <row r="3" spans="1:3" x14ac:dyDescent="0.25">
      <c r="A3" s="2">
        <v>10011</v>
      </c>
      <c r="B3" s="3" t="s">
        <v>16</v>
      </c>
      <c r="C3">
        <v>2231.3553000000002</v>
      </c>
    </row>
    <row r="4" spans="1:3" x14ac:dyDescent="0.25">
      <c r="A4" s="2">
        <v>10003</v>
      </c>
      <c r="B4" s="3" t="s">
        <v>9</v>
      </c>
      <c r="C4">
        <v>1359.0481</v>
      </c>
    </row>
    <row r="5" spans="1:3" x14ac:dyDescent="0.25">
      <c r="A5" s="2">
        <v>10011</v>
      </c>
      <c r="B5" s="3" t="s">
        <v>29</v>
      </c>
      <c r="C5">
        <v>5545.6965</v>
      </c>
    </row>
    <row r="6" spans="1:3" x14ac:dyDescent="0.25">
      <c r="A6" s="2">
        <v>10014</v>
      </c>
      <c r="B6" s="3" t="s">
        <v>9</v>
      </c>
      <c r="C6">
        <v>4047.9387000000002</v>
      </c>
    </row>
    <row r="7" spans="1:3" x14ac:dyDescent="0.25">
      <c r="A7" s="2">
        <v>10014</v>
      </c>
      <c r="B7" s="3" t="s">
        <v>16</v>
      </c>
      <c r="C7">
        <v>3235.8155999999999</v>
      </c>
    </row>
    <row r="8" spans="1:3" x14ac:dyDescent="0.25">
      <c r="A8" s="2">
        <v>10026</v>
      </c>
      <c r="B8" s="3" t="s">
        <v>9</v>
      </c>
      <c r="C8">
        <v>802.0951</v>
      </c>
    </row>
    <row r="9" spans="1:3" x14ac:dyDescent="0.25">
      <c r="A9" s="2">
        <v>10027</v>
      </c>
      <c r="B9" s="3" t="s">
        <v>9</v>
      </c>
      <c r="C9">
        <v>1022.8758</v>
      </c>
    </row>
    <row r="10" spans="1:3" x14ac:dyDescent="0.25">
      <c r="A10" s="2">
        <v>10027</v>
      </c>
      <c r="B10" s="3" t="s">
        <v>29</v>
      </c>
      <c r="C10">
        <v>674.92070000000001</v>
      </c>
    </row>
    <row r="11" spans="1:3" x14ac:dyDescent="0.25">
      <c r="A11" s="2">
        <v>10027</v>
      </c>
      <c r="B11" s="3" t="s">
        <v>16</v>
      </c>
      <c r="C11">
        <v>693.39859999999999</v>
      </c>
    </row>
    <row r="12" spans="1:3" x14ac:dyDescent="0.25">
      <c r="A12" s="2">
        <v>10030</v>
      </c>
      <c r="B12" s="3" t="s">
        <v>9</v>
      </c>
      <c r="C12">
        <v>703.125</v>
      </c>
    </row>
    <row r="13" spans="1:3" x14ac:dyDescent="0.25">
      <c r="A13" s="2">
        <v>10030</v>
      </c>
      <c r="B13" s="3" t="s">
        <v>29</v>
      </c>
      <c r="C13">
        <v>672.97590000000002</v>
      </c>
    </row>
    <row r="14" spans="1:3" x14ac:dyDescent="0.25">
      <c r="A14" s="2">
        <v>10031</v>
      </c>
      <c r="B14" s="3" t="s">
        <v>9</v>
      </c>
      <c r="C14">
        <v>830.88239999999996</v>
      </c>
    </row>
    <row r="15" spans="1:3" x14ac:dyDescent="0.25">
      <c r="A15" s="2">
        <v>10031</v>
      </c>
      <c r="B15" s="3" t="s">
        <v>16</v>
      </c>
      <c r="C15">
        <v>523.8306</v>
      </c>
    </row>
    <row r="16" spans="1:3" x14ac:dyDescent="0.25">
      <c r="A16" s="2">
        <v>10035</v>
      </c>
      <c r="B16" s="3" t="s">
        <v>29</v>
      </c>
      <c r="C16">
        <v>2549.7512000000002</v>
      </c>
    </row>
    <row r="17" spans="1:3" x14ac:dyDescent="0.25">
      <c r="A17" s="2">
        <v>10463</v>
      </c>
      <c r="B17" s="3" t="s">
        <v>68</v>
      </c>
      <c r="C17">
        <v>498.49700000000001</v>
      </c>
    </row>
    <row r="18" spans="1:3" x14ac:dyDescent="0.25">
      <c r="A18" s="2">
        <v>10463</v>
      </c>
      <c r="B18" s="3" t="s">
        <v>29</v>
      </c>
      <c r="C18">
        <v>562.12419999999997</v>
      </c>
    </row>
    <row r="19" spans="1:3" x14ac:dyDescent="0.25">
      <c r="A19" s="2">
        <v>10017</v>
      </c>
      <c r="B19" s="3" t="s">
        <v>9</v>
      </c>
      <c r="C19">
        <v>1491.2281</v>
      </c>
    </row>
    <row r="20" spans="1:3" x14ac:dyDescent="0.25">
      <c r="A20" s="2">
        <v>10019</v>
      </c>
      <c r="B20" s="3" t="s">
        <v>9</v>
      </c>
      <c r="C20">
        <v>1035.2546</v>
      </c>
    </row>
    <row r="21" spans="1:3" x14ac:dyDescent="0.25">
      <c r="A21" s="2">
        <v>10016</v>
      </c>
      <c r="B21" s="3" t="s">
        <v>9</v>
      </c>
      <c r="C21">
        <v>1761.0604000000001</v>
      </c>
    </row>
    <row r="22" spans="1:3" x14ac:dyDescent="0.25">
      <c r="A22" s="2">
        <v>10021</v>
      </c>
      <c r="B22" s="3" t="s">
        <v>9</v>
      </c>
      <c r="C22">
        <v>1926.6585</v>
      </c>
    </row>
    <row r="23" spans="1:3" x14ac:dyDescent="0.25">
      <c r="A23" s="2">
        <v>10021</v>
      </c>
      <c r="B23" s="3" t="s">
        <v>94</v>
      </c>
      <c r="C23">
        <v>1626.7194999999999</v>
      </c>
    </row>
    <row r="24" spans="1:3" x14ac:dyDescent="0.25">
      <c r="A24" s="2">
        <v>10028</v>
      </c>
      <c r="B24" s="3" t="s">
        <v>9</v>
      </c>
      <c r="C24">
        <v>2472.4348</v>
      </c>
    </row>
    <row r="25" spans="1:3" x14ac:dyDescent="0.25">
      <c r="A25" s="2">
        <v>10065</v>
      </c>
      <c r="B25" s="3" t="s">
        <v>9</v>
      </c>
      <c r="C25">
        <v>2755.4106999999999</v>
      </c>
    </row>
    <row r="26" spans="1:3" x14ac:dyDescent="0.25">
      <c r="A26" s="2">
        <v>10065</v>
      </c>
      <c r="B26" s="3" t="s">
        <v>94</v>
      </c>
      <c r="C26">
        <v>3629.0949000000001</v>
      </c>
    </row>
    <row r="27" spans="1:3" x14ac:dyDescent="0.25">
      <c r="A27" s="2">
        <v>10075</v>
      </c>
      <c r="B27" s="3" t="s">
        <v>9</v>
      </c>
      <c r="C27">
        <v>2460.7793000000001</v>
      </c>
    </row>
    <row r="28" spans="1:3" x14ac:dyDescent="0.25">
      <c r="A28" s="2">
        <v>10075</v>
      </c>
      <c r="B28" s="3" t="s">
        <v>94</v>
      </c>
      <c r="C28">
        <v>2149.8076000000001</v>
      </c>
    </row>
    <row r="29" spans="1:3" x14ac:dyDescent="0.25">
      <c r="A29" s="2">
        <v>10075</v>
      </c>
      <c r="B29" s="3" t="s">
        <v>16</v>
      </c>
      <c r="C29">
        <v>3620.1017000000002</v>
      </c>
    </row>
    <row r="30" spans="1:3" x14ac:dyDescent="0.25">
      <c r="A30" s="2">
        <v>10128</v>
      </c>
      <c r="B30" s="3" t="s">
        <v>9</v>
      </c>
      <c r="C30">
        <v>2087.0133000000001</v>
      </c>
    </row>
    <row r="31" spans="1:3" x14ac:dyDescent="0.25">
      <c r="A31" s="2">
        <v>10128</v>
      </c>
      <c r="B31" s="3" t="s">
        <v>16</v>
      </c>
      <c r="C31">
        <v>2521.3036000000002</v>
      </c>
    </row>
    <row r="32" spans="1:3" x14ac:dyDescent="0.25">
      <c r="A32" s="2">
        <v>10023</v>
      </c>
      <c r="B32" s="3" t="s">
        <v>9</v>
      </c>
      <c r="C32">
        <v>1120.3062</v>
      </c>
    </row>
    <row r="33" spans="1:3" x14ac:dyDescent="0.25">
      <c r="A33" s="2">
        <v>10023</v>
      </c>
      <c r="B33" s="3" t="s">
        <v>16</v>
      </c>
      <c r="C33">
        <v>1490.2675999999999</v>
      </c>
    </row>
    <row r="34" spans="1:3" x14ac:dyDescent="0.25">
      <c r="A34" s="2">
        <v>10024</v>
      </c>
      <c r="B34" s="3" t="s">
        <v>9</v>
      </c>
      <c r="C34">
        <v>1948.7737999999999</v>
      </c>
    </row>
    <row r="35" spans="1:3" x14ac:dyDescent="0.25">
      <c r="A35" s="2">
        <v>10024</v>
      </c>
      <c r="B35" s="3" t="s">
        <v>29</v>
      </c>
      <c r="C35">
        <v>1593.9186</v>
      </c>
    </row>
    <row r="36" spans="1:3" x14ac:dyDescent="0.25">
      <c r="A36" s="2">
        <v>10032</v>
      </c>
      <c r="B36" s="3" t="s">
        <v>68</v>
      </c>
      <c r="C36">
        <v>1026.6667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2639B-833E-4C4A-82D9-A74DE15A5EE1}">
  <dimension ref="A1:I142"/>
  <sheetViews>
    <sheetView workbookViewId="0">
      <selection activeCell="I4" sqref="I4"/>
    </sheetView>
  </sheetViews>
  <sheetFormatPr defaultRowHeight="15" x14ac:dyDescent="0.25"/>
  <cols>
    <col min="1" max="1" width="21.85546875" bestFit="1" customWidth="1"/>
    <col min="2" max="2" width="24.42578125" bestFit="1" customWidth="1"/>
    <col min="3" max="3" width="11.85546875" style="2" bestFit="1" customWidth="1"/>
    <col min="4" max="4" width="18.42578125" style="3" bestFit="1" customWidth="1"/>
    <col min="5" max="5" width="15.7109375" bestFit="1" customWidth="1"/>
    <col min="6" max="6" width="13.42578125" bestFit="1" customWidth="1"/>
    <col min="7" max="7" width="12.7109375" bestFit="1" customWidth="1"/>
    <col min="8" max="8" width="18.28515625" customWidth="1"/>
  </cols>
  <sheetData>
    <row r="1" spans="1:9" x14ac:dyDescent="0.25">
      <c r="A1" t="s">
        <v>0</v>
      </c>
      <c r="B1" t="s">
        <v>1</v>
      </c>
      <c r="C1" s="2" t="s">
        <v>2</v>
      </c>
      <c r="D1" s="3" t="s">
        <v>3</v>
      </c>
      <c r="E1" t="s">
        <v>4</v>
      </c>
      <c r="F1" t="s">
        <v>5</v>
      </c>
      <c r="G1" t="s">
        <v>6</v>
      </c>
      <c r="H1" t="s">
        <v>160</v>
      </c>
      <c r="I1" t="s">
        <v>161</v>
      </c>
    </row>
    <row r="2" spans="1:9" x14ac:dyDescent="0.25">
      <c r="A2" s="1" t="s">
        <v>7</v>
      </c>
      <c r="B2" s="1" t="s">
        <v>8</v>
      </c>
      <c r="C2" s="2">
        <v>10011</v>
      </c>
      <c r="D2" s="3" t="s">
        <v>9</v>
      </c>
      <c r="E2">
        <v>8997</v>
      </c>
      <c r="F2">
        <v>14999999</v>
      </c>
      <c r="G2">
        <v>1667.2222999999999</v>
      </c>
      <c r="H2">
        <f t="array" ref="H2">IF(manhattan_property_sales[[#This Row],[Price/sqrft]]&gt;0, manhattan_property_sales[[#This Row],[Price/sqrft]], INDEX(average_value[avg_price/sqrft], MATCH(1, (average_value[ZIP_CODE]=manhattan_property_sales[[#This Row],[ZIP_CODE]])*(average_value[BUILDING_CLASS]=manhattan_property_sales[[#This Row],[BUILDING_CLASS]]), 0)) )</f>
        <v>1667.2222999999999</v>
      </c>
      <c r="I2">
        <f>IF(manhattan_property_sales[[#This Row],[SALE_PRICE]]&gt;0, manhattan_property_sales[[#This Row],[SALE_PRICE]], manhattan_property_sales[[#This Row],[SQUARE_FEET]] * manhattan_property_sales[[#This Row],[Estimated $/sqrft]])</f>
        <v>14999999</v>
      </c>
    </row>
    <row r="3" spans="1:9" x14ac:dyDescent="0.25">
      <c r="A3" s="1" t="s">
        <v>7</v>
      </c>
      <c r="B3" s="1" t="s">
        <v>10</v>
      </c>
      <c r="C3" s="2">
        <v>10011</v>
      </c>
      <c r="D3" s="3" t="s">
        <v>9</v>
      </c>
      <c r="E3">
        <v>3042</v>
      </c>
      <c r="F3">
        <v>13500000</v>
      </c>
      <c r="G3">
        <v>4437.8698000000004</v>
      </c>
      <c r="H3">
        <f t="array" ref="H3">IF(manhattan_property_sales[[#This Row],[Price/sqrft]]&gt;0, manhattan_property_sales[[#This Row],[Price/sqrft]], INDEX(average_value[avg_price/sqrft], MATCH(1, (average_value[ZIP_CODE]=manhattan_property_sales[[#This Row],[ZIP_CODE]])*(average_value[BUILDING_CLASS]=manhattan_property_sales[[#This Row],[BUILDING_CLASS]]), 0)) )</f>
        <v>4437.8698000000004</v>
      </c>
      <c r="I3">
        <f>IF(manhattan_property_sales[[#This Row],[SALE_PRICE]]&gt;0, manhattan_property_sales[[#This Row],[SALE_PRICE]], manhattan_property_sales[[#This Row],[SQUARE_FEET]] * manhattan_property_sales[[#This Row],[Estimated $/sqrft]])</f>
        <v>13500000</v>
      </c>
    </row>
    <row r="4" spans="1:9" x14ac:dyDescent="0.25">
      <c r="A4" s="1" t="s">
        <v>7</v>
      </c>
      <c r="B4" s="1" t="s">
        <v>11</v>
      </c>
      <c r="C4" s="2">
        <v>10011</v>
      </c>
      <c r="D4" s="3" t="s">
        <v>9</v>
      </c>
      <c r="E4">
        <v>3365</v>
      </c>
      <c r="F4">
        <v>7650000</v>
      </c>
      <c r="G4">
        <v>2273.4027000000001</v>
      </c>
      <c r="H4">
        <f t="array" ref="H4">IF(manhattan_property_sales[[#This Row],[Price/sqrft]]&gt;0, manhattan_property_sales[[#This Row],[Price/sqrft]], INDEX(average_value[avg_price/sqrft], MATCH(1, (average_value[ZIP_CODE]=manhattan_property_sales[[#This Row],[ZIP_CODE]])*(average_value[BUILDING_CLASS]=manhattan_property_sales[[#This Row],[BUILDING_CLASS]]), 0)) )</f>
        <v>2273.4027000000001</v>
      </c>
      <c r="I4">
        <f>IF(manhattan_property_sales[[#This Row],[SALE_PRICE]]&gt;0, manhattan_property_sales[[#This Row],[SALE_PRICE]], manhattan_property_sales[[#This Row],[SQUARE_FEET]] * manhattan_property_sales[[#This Row],[Estimated $/sqrft]])</f>
        <v>7650000</v>
      </c>
    </row>
    <row r="5" spans="1:9" x14ac:dyDescent="0.25">
      <c r="A5" s="1" t="s">
        <v>7</v>
      </c>
      <c r="B5" s="1" t="s">
        <v>12</v>
      </c>
      <c r="C5" s="2">
        <v>10011</v>
      </c>
      <c r="D5" s="3" t="s">
        <v>9</v>
      </c>
      <c r="E5">
        <v>3666</v>
      </c>
      <c r="F5">
        <v>0</v>
      </c>
      <c r="G5">
        <v>0</v>
      </c>
      <c r="H5">
        <f t="array" ref="H5">IF(manhattan_property_sales[[#This Row],[Price/sqrft]]&gt;0, manhattan_property_sales[[#This Row],[Price/sqrft]], INDEX(average_value[avg_price/sqrft], MATCH(1, (average_value[ZIP_CODE]=manhattan_property_sales[[#This Row],[ZIP_CODE]])*(average_value[BUILDING_CLASS]=manhattan_property_sales[[#This Row],[BUILDING_CLASS]]), 0)) )</f>
        <v>2668.2741000000001</v>
      </c>
      <c r="I5">
        <f>IF(manhattan_property_sales[[#This Row],[SALE_PRICE]]&gt;0, manhattan_property_sales[[#This Row],[SALE_PRICE]], manhattan_property_sales[[#This Row],[SQUARE_FEET]] * manhattan_property_sales[[#This Row],[Estimated $/sqrft]])</f>
        <v>9781892.8506000005</v>
      </c>
    </row>
    <row r="6" spans="1:9" x14ac:dyDescent="0.25">
      <c r="A6" s="1" t="s">
        <v>7</v>
      </c>
      <c r="B6" s="1" t="s">
        <v>13</v>
      </c>
      <c r="C6" s="2">
        <v>10011</v>
      </c>
      <c r="D6" s="3" t="s">
        <v>9</v>
      </c>
      <c r="E6">
        <v>4395</v>
      </c>
      <c r="F6">
        <v>13100000</v>
      </c>
      <c r="G6">
        <v>2980.6597999999999</v>
      </c>
      <c r="H6">
        <f t="array" ref="H6">IF(manhattan_property_sales[[#This Row],[Price/sqrft]]&gt;0, manhattan_property_sales[[#This Row],[Price/sqrft]], INDEX(average_value[avg_price/sqrft], MATCH(1, (average_value[ZIP_CODE]=manhattan_property_sales[[#This Row],[ZIP_CODE]])*(average_value[BUILDING_CLASS]=manhattan_property_sales[[#This Row],[BUILDING_CLASS]]), 0)) )</f>
        <v>2980.6597999999999</v>
      </c>
      <c r="I6">
        <f>IF(manhattan_property_sales[[#This Row],[SALE_PRICE]]&gt;0, manhattan_property_sales[[#This Row],[SALE_PRICE]], manhattan_property_sales[[#This Row],[SQUARE_FEET]] * manhattan_property_sales[[#This Row],[Estimated $/sqrft]])</f>
        <v>13100000</v>
      </c>
    </row>
    <row r="7" spans="1:9" x14ac:dyDescent="0.25">
      <c r="A7" s="1" t="s">
        <v>7</v>
      </c>
      <c r="B7" s="1" t="s">
        <v>14</v>
      </c>
      <c r="C7" s="2">
        <v>10011</v>
      </c>
      <c r="D7" s="3" t="s">
        <v>9</v>
      </c>
      <c r="E7">
        <v>3363</v>
      </c>
      <c r="F7">
        <v>4775000</v>
      </c>
      <c r="G7">
        <v>1419.8632</v>
      </c>
      <c r="H7">
        <f t="array" ref="H7">IF(manhattan_property_sales[[#This Row],[Price/sqrft]]&gt;0, manhattan_property_sales[[#This Row],[Price/sqrft]], INDEX(average_value[avg_price/sqrft], MATCH(1, (average_value[ZIP_CODE]=manhattan_property_sales[[#This Row],[ZIP_CODE]])*(average_value[BUILDING_CLASS]=manhattan_property_sales[[#This Row],[BUILDING_CLASS]]), 0)) )</f>
        <v>1419.8632</v>
      </c>
      <c r="I7">
        <f>IF(manhattan_property_sales[[#This Row],[SALE_PRICE]]&gt;0, manhattan_property_sales[[#This Row],[SALE_PRICE]], manhattan_property_sales[[#This Row],[SQUARE_FEET]] * manhattan_property_sales[[#This Row],[Estimated $/sqrft]])</f>
        <v>4775000</v>
      </c>
    </row>
    <row r="8" spans="1:9" x14ac:dyDescent="0.25">
      <c r="A8" s="1" t="s">
        <v>7</v>
      </c>
      <c r="B8" s="1" t="s">
        <v>15</v>
      </c>
      <c r="C8" s="2">
        <v>10011</v>
      </c>
      <c r="D8" s="3" t="s">
        <v>16</v>
      </c>
      <c r="E8">
        <v>6715</v>
      </c>
      <c r="F8">
        <v>10600000</v>
      </c>
      <c r="G8">
        <v>1578.5554999999999</v>
      </c>
      <c r="H8">
        <f t="array" ref="H8">IF(manhattan_property_sales[[#This Row],[Price/sqrft]]&gt;0, manhattan_property_sales[[#This Row],[Price/sqrft]], INDEX(average_value[avg_price/sqrft], MATCH(1, (average_value[ZIP_CODE]=manhattan_property_sales[[#This Row],[ZIP_CODE]])*(average_value[BUILDING_CLASS]=manhattan_property_sales[[#This Row],[BUILDING_CLASS]]), 0)) )</f>
        <v>1578.5554999999999</v>
      </c>
      <c r="I8">
        <f>IF(manhattan_property_sales[[#This Row],[SALE_PRICE]]&gt;0, manhattan_property_sales[[#This Row],[SALE_PRICE]], manhattan_property_sales[[#This Row],[SQUARE_FEET]] * manhattan_property_sales[[#This Row],[Estimated $/sqrft]])</f>
        <v>10600000</v>
      </c>
    </row>
    <row r="9" spans="1:9" x14ac:dyDescent="0.25">
      <c r="A9" s="1" t="s">
        <v>7</v>
      </c>
      <c r="B9" s="1" t="s">
        <v>17</v>
      </c>
      <c r="C9" s="2">
        <v>10011</v>
      </c>
      <c r="D9" s="3" t="s">
        <v>16</v>
      </c>
      <c r="E9">
        <v>7805</v>
      </c>
      <c r="F9">
        <v>11600000</v>
      </c>
      <c r="G9">
        <v>1486.2267999999999</v>
      </c>
      <c r="H9">
        <f t="array" ref="H9">IF(manhattan_property_sales[[#This Row],[Price/sqrft]]&gt;0, manhattan_property_sales[[#This Row],[Price/sqrft]], INDEX(average_value[avg_price/sqrft], MATCH(1, (average_value[ZIP_CODE]=manhattan_property_sales[[#This Row],[ZIP_CODE]])*(average_value[BUILDING_CLASS]=manhattan_property_sales[[#This Row],[BUILDING_CLASS]]), 0)) )</f>
        <v>1486.2267999999999</v>
      </c>
      <c r="I9">
        <f>IF(manhattan_property_sales[[#This Row],[SALE_PRICE]]&gt;0, manhattan_property_sales[[#This Row],[SALE_PRICE]], manhattan_property_sales[[#This Row],[SQUARE_FEET]] * manhattan_property_sales[[#This Row],[Estimated $/sqrft]])</f>
        <v>11600000</v>
      </c>
    </row>
    <row r="10" spans="1:9" x14ac:dyDescent="0.25">
      <c r="A10" s="1" t="s">
        <v>18</v>
      </c>
      <c r="B10" s="1" t="s">
        <v>19</v>
      </c>
      <c r="C10" s="2">
        <v>10003</v>
      </c>
      <c r="D10" s="3" t="s">
        <v>9</v>
      </c>
      <c r="E10">
        <v>3360</v>
      </c>
      <c r="F10">
        <v>6400000</v>
      </c>
      <c r="G10">
        <v>1904.7619</v>
      </c>
      <c r="H10">
        <f t="array" ref="H10">IF(manhattan_property_sales[[#This Row],[Price/sqrft]]&gt;0, manhattan_property_sales[[#This Row],[Price/sqrft]], INDEX(average_value[avg_price/sqrft], MATCH(1, (average_value[ZIP_CODE]=manhattan_property_sales[[#This Row],[ZIP_CODE]])*(average_value[BUILDING_CLASS]=manhattan_property_sales[[#This Row],[BUILDING_CLASS]]), 0)) )</f>
        <v>1904.7619</v>
      </c>
      <c r="I10">
        <f>IF(manhattan_property_sales[[#This Row],[SALE_PRICE]]&gt;0, manhattan_property_sales[[#This Row],[SALE_PRICE]], manhattan_property_sales[[#This Row],[SQUARE_FEET]] * manhattan_property_sales[[#This Row],[Estimated $/sqrft]])</f>
        <v>6400000</v>
      </c>
    </row>
    <row r="11" spans="1:9" x14ac:dyDescent="0.25">
      <c r="A11" s="1" t="s">
        <v>18</v>
      </c>
      <c r="B11" s="1" t="s">
        <v>20</v>
      </c>
      <c r="C11" s="2">
        <v>10003</v>
      </c>
      <c r="D11" s="3" t="s">
        <v>9</v>
      </c>
      <c r="E11">
        <v>3192</v>
      </c>
      <c r="F11">
        <v>3850000</v>
      </c>
      <c r="G11">
        <v>1206.1404</v>
      </c>
      <c r="H11">
        <f t="array" ref="H11">IF(manhattan_property_sales[[#This Row],[Price/sqrft]]&gt;0, manhattan_property_sales[[#This Row],[Price/sqrft]], INDEX(average_value[avg_price/sqrft], MATCH(1, (average_value[ZIP_CODE]=manhattan_property_sales[[#This Row],[ZIP_CODE]])*(average_value[BUILDING_CLASS]=manhattan_property_sales[[#This Row],[BUILDING_CLASS]]), 0)) )</f>
        <v>1206.1404</v>
      </c>
      <c r="I11">
        <f>IF(manhattan_property_sales[[#This Row],[SALE_PRICE]]&gt;0, manhattan_property_sales[[#This Row],[SALE_PRICE]], manhattan_property_sales[[#This Row],[SQUARE_FEET]] * manhattan_property_sales[[#This Row],[Estimated $/sqrft]])</f>
        <v>3850000</v>
      </c>
    </row>
    <row r="12" spans="1:9" x14ac:dyDescent="0.25">
      <c r="A12" s="1" t="s">
        <v>18</v>
      </c>
      <c r="B12" s="1" t="s">
        <v>21</v>
      </c>
      <c r="C12" s="2">
        <v>10003</v>
      </c>
      <c r="D12" s="3" t="s">
        <v>9</v>
      </c>
      <c r="E12">
        <v>6060</v>
      </c>
      <c r="F12">
        <v>6250000</v>
      </c>
      <c r="G12">
        <v>1031.3531</v>
      </c>
      <c r="H12">
        <f t="array" ref="H12">IF(manhattan_property_sales[[#This Row],[Price/sqrft]]&gt;0, manhattan_property_sales[[#This Row],[Price/sqrft]], INDEX(average_value[avg_price/sqrft], MATCH(1, (average_value[ZIP_CODE]=manhattan_property_sales[[#This Row],[ZIP_CODE]])*(average_value[BUILDING_CLASS]=manhattan_property_sales[[#This Row],[BUILDING_CLASS]]), 0)) )</f>
        <v>1031.3531</v>
      </c>
      <c r="I12">
        <f>IF(manhattan_property_sales[[#This Row],[SALE_PRICE]]&gt;0, manhattan_property_sales[[#This Row],[SALE_PRICE]], manhattan_property_sales[[#This Row],[SQUARE_FEET]] * manhattan_property_sales[[#This Row],[Estimated $/sqrft]])</f>
        <v>6250000</v>
      </c>
    </row>
    <row r="13" spans="1:9" x14ac:dyDescent="0.25">
      <c r="A13" s="1" t="s">
        <v>18</v>
      </c>
      <c r="B13" s="1" t="s">
        <v>22</v>
      </c>
      <c r="C13" s="2">
        <v>10003</v>
      </c>
      <c r="D13" s="3" t="s">
        <v>9</v>
      </c>
      <c r="E13">
        <v>6798</v>
      </c>
      <c r="F13">
        <v>7400000</v>
      </c>
      <c r="G13">
        <v>1088.5554999999999</v>
      </c>
      <c r="H13">
        <f t="array" ref="H13">IF(manhattan_property_sales[[#This Row],[Price/sqrft]]&gt;0, manhattan_property_sales[[#This Row],[Price/sqrft]], INDEX(average_value[avg_price/sqrft], MATCH(1, (average_value[ZIP_CODE]=manhattan_property_sales[[#This Row],[ZIP_CODE]])*(average_value[BUILDING_CLASS]=manhattan_property_sales[[#This Row],[BUILDING_CLASS]]), 0)) )</f>
        <v>1088.5554999999999</v>
      </c>
      <c r="I13">
        <f>IF(manhattan_property_sales[[#This Row],[SALE_PRICE]]&gt;0, manhattan_property_sales[[#This Row],[SALE_PRICE]], manhattan_property_sales[[#This Row],[SQUARE_FEET]] * manhattan_property_sales[[#This Row],[Estimated $/sqrft]])</f>
        <v>7400000</v>
      </c>
    </row>
    <row r="14" spans="1:9" x14ac:dyDescent="0.25">
      <c r="A14" s="1" t="s">
        <v>18</v>
      </c>
      <c r="B14" s="1" t="s">
        <v>23</v>
      </c>
      <c r="C14" s="2">
        <v>10003</v>
      </c>
      <c r="D14" s="3" t="s">
        <v>9</v>
      </c>
      <c r="E14">
        <v>2429</v>
      </c>
      <c r="F14">
        <v>3800000</v>
      </c>
      <c r="G14">
        <v>1564.4297999999999</v>
      </c>
      <c r="H14">
        <f t="array" ref="H14">IF(manhattan_property_sales[[#This Row],[Price/sqrft]]&gt;0, manhattan_property_sales[[#This Row],[Price/sqrft]], INDEX(average_value[avg_price/sqrft], MATCH(1, (average_value[ZIP_CODE]=manhattan_property_sales[[#This Row],[ZIP_CODE]])*(average_value[BUILDING_CLASS]=manhattan_property_sales[[#This Row],[BUILDING_CLASS]]), 0)) )</f>
        <v>1564.4297999999999</v>
      </c>
      <c r="I14">
        <f>IF(manhattan_property_sales[[#This Row],[SALE_PRICE]]&gt;0, manhattan_property_sales[[#This Row],[SALE_PRICE]], manhattan_property_sales[[#This Row],[SQUARE_FEET]] * manhattan_property_sales[[#This Row],[Estimated $/sqrft]])</f>
        <v>3800000</v>
      </c>
    </row>
    <row r="15" spans="1:9" x14ac:dyDescent="0.25">
      <c r="A15" s="1" t="s">
        <v>24</v>
      </c>
      <c r="B15" s="1" t="s">
        <v>25</v>
      </c>
      <c r="C15" s="2">
        <v>10011</v>
      </c>
      <c r="D15" s="3" t="s">
        <v>9</v>
      </c>
      <c r="E15">
        <v>5400</v>
      </c>
      <c r="F15">
        <v>0</v>
      </c>
      <c r="G15">
        <v>0</v>
      </c>
      <c r="H15">
        <f t="array" ref="H15">IF(manhattan_property_sales[[#This Row],[Price/sqrft]]&gt;0, manhattan_property_sales[[#This Row],[Price/sqrft]], INDEX(average_value[avg_price/sqrft], MATCH(1, (average_value[ZIP_CODE]=manhattan_property_sales[[#This Row],[ZIP_CODE]])*(average_value[BUILDING_CLASS]=manhattan_property_sales[[#This Row],[BUILDING_CLASS]]), 0)) )</f>
        <v>2668.2741000000001</v>
      </c>
      <c r="I15">
        <f>IF(manhattan_property_sales[[#This Row],[SALE_PRICE]]&gt;0, manhattan_property_sales[[#This Row],[SALE_PRICE]], manhattan_property_sales[[#This Row],[SQUARE_FEET]] * manhattan_property_sales[[#This Row],[Estimated $/sqrft]])</f>
        <v>14408680.140000001</v>
      </c>
    </row>
    <row r="16" spans="1:9" x14ac:dyDescent="0.25">
      <c r="A16" s="1" t="s">
        <v>24</v>
      </c>
      <c r="B16" s="1" t="s">
        <v>26</v>
      </c>
      <c r="C16" s="2">
        <v>10011</v>
      </c>
      <c r="D16" s="3" t="s">
        <v>9</v>
      </c>
      <c r="E16">
        <v>3640</v>
      </c>
      <c r="F16">
        <v>9600000</v>
      </c>
      <c r="G16">
        <v>2637.3625999999999</v>
      </c>
      <c r="H16">
        <f t="array" ref="H16">IF(manhattan_property_sales[[#This Row],[Price/sqrft]]&gt;0, manhattan_property_sales[[#This Row],[Price/sqrft]], INDEX(average_value[avg_price/sqrft], MATCH(1, (average_value[ZIP_CODE]=manhattan_property_sales[[#This Row],[ZIP_CODE]])*(average_value[BUILDING_CLASS]=manhattan_property_sales[[#This Row],[BUILDING_CLASS]]), 0)) )</f>
        <v>2637.3625999999999</v>
      </c>
      <c r="I16">
        <f>IF(manhattan_property_sales[[#This Row],[SALE_PRICE]]&gt;0, manhattan_property_sales[[#This Row],[SALE_PRICE]], manhattan_property_sales[[#This Row],[SQUARE_FEET]] * manhattan_property_sales[[#This Row],[Estimated $/sqrft]])</f>
        <v>9600000</v>
      </c>
    </row>
    <row r="17" spans="1:9" x14ac:dyDescent="0.25">
      <c r="A17" s="1" t="s">
        <v>24</v>
      </c>
      <c r="B17" s="1" t="s">
        <v>27</v>
      </c>
      <c r="C17" s="2">
        <v>10011</v>
      </c>
      <c r="D17" s="3" t="s">
        <v>9</v>
      </c>
      <c r="E17">
        <v>8125</v>
      </c>
      <c r="F17">
        <v>26500000</v>
      </c>
      <c r="G17">
        <v>3261.5385000000001</v>
      </c>
      <c r="H17">
        <f t="array" ref="H17">IF(manhattan_property_sales[[#This Row],[Price/sqrft]]&gt;0, manhattan_property_sales[[#This Row],[Price/sqrft]], INDEX(average_value[avg_price/sqrft], MATCH(1, (average_value[ZIP_CODE]=manhattan_property_sales[[#This Row],[ZIP_CODE]])*(average_value[BUILDING_CLASS]=manhattan_property_sales[[#This Row],[BUILDING_CLASS]]), 0)) )</f>
        <v>3261.5385000000001</v>
      </c>
      <c r="I17">
        <f>IF(manhattan_property_sales[[#This Row],[SALE_PRICE]]&gt;0, manhattan_property_sales[[#This Row],[SALE_PRICE]], manhattan_property_sales[[#This Row],[SQUARE_FEET]] * manhattan_property_sales[[#This Row],[Estimated $/sqrft]])</f>
        <v>26500000</v>
      </c>
    </row>
    <row r="18" spans="1:9" x14ac:dyDescent="0.25">
      <c r="A18" s="1" t="s">
        <v>24</v>
      </c>
      <c r="B18" s="1" t="s">
        <v>28</v>
      </c>
      <c r="C18" s="2">
        <v>10011</v>
      </c>
      <c r="D18" s="3" t="s">
        <v>29</v>
      </c>
      <c r="E18">
        <v>3381</v>
      </c>
      <c r="F18">
        <v>18750000</v>
      </c>
      <c r="G18">
        <v>5545.6965</v>
      </c>
      <c r="H18">
        <f t="array" ref="H18">IF(manhattan_property_sales[[#This Row],[Price/sqrft]]&gt;0, manhattan_property_sales[[#This Row],[Price/sqrft]], INDEX(average_value[avg_price/sqrft], MATCH(1, (average_value[ZIP_CODE]=manhattan_property_sales[[#This Row],[ZIP_CODE]])*(average_value[BUILDING_CLASS]=manhattan_property_sales[[#This Row],[BUILDING_CLASS]]), 0)) )</f>
        <v>5545.6965</v>
      </c>
      <c r="I18">
        <f>IF(manhattan_property_sales[[#This Row],[SALE_PRICE]]&gt;0, manhattan_property_sales[[#This Row],[SALE_PRICE]], manhattan_property_sales[[#This Row],[SQUARE_FEET]] * manhattan_property_sales[[#This Row],[Estimated $/sqrft]])</f>
        <v>18750000</v>
      </c>
    </row>
    <row r="19" spans="1:9" x14ac:dyDescent="0.25">
      <c r="A19" s="1" t="s">
        <v>24</v>
      </c>
      <c r="B19" s="1" t="s">
        <v>30</v>
      </c>
      <c r="C19" s="2">
        <v>10011</v>
      </c>
      <c r="D19" s="3" t="s">
        <v>16</v>
      </c>
      <c r="E19">
        <v>1284</v>
      </c>
      <c r="F19">
        <v>4660000</v>
      </c>
      <c r="G19">
        <v>3629.2835</v>
      </c>
      <c r="H19">
        <f t="array" ref="H19">IF(manhattan_property_sales[[#This Row],[Price/sqrft]]&gt;0, manhattan_property_sales[[#This Row],[Price/sqrft]], INDEX(average_value[avg_price/sqrft], MATCH(1, (average_value[ZIP_CODE]=manhattan_property_sales[[#This Row],[ZIP_CODE]])*(average_value[BUILDING_CLASS]=manhattan_property_sales[[#This Row],[BUILDING_CLASS]]), 0)) )</f>
        <v>3629.2835</v>
      </c>
      <c r="I19">
        <f>IF(manhattan_property_sales[[#This Row],[SALE_PRICE]]&gt;0, manhattan_property_sales[[#This Row],[SALE_PRICE]], manhattan_property_sales[[#This Row],[SQUARE_FEET]] * manhattan_property_sales[[#This Row],[Estimated $/sqrft]])</f>
        <v>4660000</v>
      </c>
    </row>
    <row r="20" spans="1:9" x14ac:dyDescent="0.25">
      <c r="A20" s="1" t="s">
        <v>24</v>
      </c>
      <c r="B20" s="1" t="s">
        <v>31</v>
      </c>
      <c r="C20" s="2">
        <v>10014</v>
      </c>
      <c r="D20" s="3" t="s">
        <v>9</v>
      </c>
      <c r="E20">
        <v>3166</v>
      </c>
      <c r="F20">
        <v>9900000</v>
      </c>
      <c r="G20">
        <v>3126.9740999999999</v>
      </c>
      <c r="H20">
        <f t="array" ref="H20">IF(manhattan_property_sales[[#This Row],[Price/sqrft]]&gt;0, manhattan_property_sales[[#This Row],[Price/sqrft]], INDEX(average_value[avg_price/sqrft], MATCH(1, (average_value[ZIP_CODE]=manhattan_property_sales[[#This Row],[ZIP_CODE]])*(average_value[BUILDING_CLASS]=manhattan_property_sales[[#This Row],[BUILDING_CLASS]]), 0)) )</f>
        <v>3126.9740999999999</v>
      </c>
      <c r="I20">
        <f>IF(manhattan_property_sales[[#This Row],[SALE_PRICE]]&gt;0, manhattan_property_sales[[#This Row],[SALE_PRICE]], manhattan_property_sales[[#This Row],[SQUARE_FEET]] * manhattan_property_sales[[#This Row],[Estimated $/sqrft]])</f>
        <v>9900000</v>
      </c>
    </row>
    <row r="21" spans="1:9" x14ac:dyDescent="0.25">
      <c r="A21" s="1" t="s">
        <v>24</v>
      </c>
      <c r="B21" s="1" t="s">
        <v>32</v>
      </c>
      <c r="C21" s="2">
        <v>10014</v>
      </c>
      <c r="D21" s="3" t="s">
        <v>9</v>
      </c>
      <c r="E21">
        <v>3416</v>
      </c>
      <c r="F21">
        <v>13000000</v>
      </c>
      <c r="G21">
        <v>3805.6206000000002</v>
      </c>
      <c r="H21">
        <f t="array" ref="H21">IF(manhattan_property_sales[[#This Row],[Price/sqrft]]&gt;0, manhattan_property_sales[[#This Row],[Price/sqrft]], INDEX(average_value[avg_price/sqrft], MATCH(1, (average_value[ZIP_CODE]=manhattan_property_sales[[#This Row],[ZIP_CODE]])*(average_value[BUILDING_CLASS]=manhattan_property_sales[[#This Row],[BUILDING_CLASS]]), 0)) )</f>
        <v>3805.6206000000002</v>
      </c>
      <c r="I21">
        <f>IF(manhattan_property_sales[[#This Row],[SALE_PRICE]]&gt;0, manhattan_property_sales[[#This Row],[SALE_PRICE]], manhattan_property_sales[[#This Row],[SQUARE_FEET]] * manhattan_property_sales[[#This Row],[Estimated $/sqrft]])</f>
        <v>13000000</v>
      </c>
    </row>
    <row r="22" spans="1:9" x14ac:dyDescent="0.25">
      <c r="A22" s="1" t="s">
        <v>24</v>
      </c>
      <c r="B22" s="1" t="s">
        <v>33</v>
      </c>
      <c r="C22" s="2">
        <v>10014</v>
      </c>
      <c r="D22" s="3" t="s">
        <v>9</v>
      </c>
      <c r="E22">
        <v>2664</v>
      </c>
      <c r="F22">
        <v>11250000</v>
      </c>
      <c r="G22">
        <v>4222.973</v>
      </c>
      <c r="H22">
        <f t="array" ref="H22">IF(manhattan_property_sales[[#This Row],[Price/sqrft]]&gt;0, manhattan_property_sales[[#This Row],[Price/sqrft]], INDEX(average_value[avg_price/sqrft], MATCH(1, (average_value[ZIP_CODE]=manhattan_property_sales[[#This Row],[ZIP_CODE]])*(average_value[BUILDING_CLASS]=manhattan_property_sales[[#This Row],[BUILDING_CLASS]]), 0)) )</f>
        <v>4222.973</v>
      </c>
      <c r="I22">
        <f>IF(manhattan_property_sales[[#This Row],[SALE_PRICE]]&gt;0, manhattan_property_sales[[#This Row],[SALE_PRICE]], manhattan_property_sales[[#This Row],[SQUARE_FEET]] * manhattan_property_sales[[#This Row],[Estimated $/sqrft]])</f>
        <v>11250000</v>
      </c>
    </row>
    <row r="23" spans="1:9" x14ac:dyDescent="0.25">
      <c r="A23" s="1" t="s">
        <v>24</v>
      </c>
      <c r="B23" s="1" t="s">
        <v>34</v>
      </c>
      <c r="C23" s="2">
        <v>10014</v>
      </c>
      <c r="D23" s="3" t="s">
        <v>9</v>
      </c>
      <c r="E23">
        <v>1501</v>
      </c>
      <c r="F23">
        <v>3200000</v>
      </c>
      <c r="G23">
        <v>2131.9121</v>
      </c>
      <c r="H23">
        <f t="array" ref="H23">IF(manhattan_property_sales[[#This Row],[Price/sqrft]]&gt;0, manhattan_property_sales[[#This Row],[Price/sqrft]], INDEX(average_value[avg_price/sqrft], MATCH(1, (average_value[ZIP_CODE]=manhattan_property_sales[[#This Row],[ZIP_CODE]])*(average_value[BUILDING_CLASS]=manhattan_property_sales[[#This Row],[BUILDING_CLASS]]), 0)) )</f>
        <v>2131.9121</v>
      </c>
      <c r="I23">
        <f>IF(manhattan_property_sales[[#This Row],[SALE_PRICE]]&gt;0, manhattan_property_sales[[#This Row],[SALE_PRICE]], manhattan_property_sales[[#This Row],[SQUARE_FEET]] * manhattan_property_sales[[#This Row],[Estimated $/sqrft]])</f>
        <v>3200000</v>
      </c>
    </row>
    <row r="24" spans="1:9" x14ac:dyDescent="0.25">
      <c r="A24" s="1" t="s">
        <v>24</v>
      </c>
      <c r="B24" s="1" t="s">
        <v>35</v>
      </c>
      <c r="C24" s="2">
        <v>10014</v>
      </c>
      <c r="D24" s="3" t="s">
        <v>9</v>
      </c>
      <c r="E24">
        <v>4009</v>
      </c>
      <c r="F24">
        <v>19999000</v>
      </c>
      <c r="G24">
        <v>4988.5258000000003</v>
      </c>
      <c r="H24">
        <f t="array" ref="H24">IF(manhattan_property_sales[[#This Row],[Price/sqrft]]&gt;0, manhattan_property_sales[[#This Row],[Price/sqrft]], INDEX(average_value[avg_price/sqrft], MATCH(1, (average_value[ZIP_CODE]=manhattan_property_sales[[#This Row],[ZIP_CODE]])*(average_value[BUILDING_CLASS]=manhattan_property_sales[[#This Row],[BUILDING_CLASS]]), 0)) )</f>
        <v>4988.5258000000003</v>
      </c>
      <c r="I24">
        <f>IF(manhattan_property_sales[[#This Row],[SALE_PRICE]]&gt;0, manhattan_property_sales[[#This Row],[SALE_PRICE]], manhattan_property_sales[[#This Row],[SQUARE_FEET]] * manhattan_property_sales[[#This Row],[Estimated $/sqrft]])</f>
        <v>19999000</v>
      </c>
    </row>
    <row r="25" spans="1:9" x14ac:dyDescent="0.25">
      <c r="A25" s="1" t="s">
        <v>24</v>
      </c>
      <c r="B25" s="1" t="s">
        <v>36</v>
      </c>
      <c r="C25" s="2">
        <v>10014</v>
      </c>
      <c r="D25" s="3" t="s">
        <v>9</v>
      </c>
      <c r="E25">
        <v>5498</v>
      </c>
      <c r="F25">
        <v>0</v>
      </c>
      <c r="G25">
        <v>0</v>
      </c>
      <c r="H25">
        <f t="array" ref="H25">IF(manhattan_property_sales[[#This Row],[Price/sqrft]]&gt;0, manhattan_property_sales[[#This Row],[Price/sqrft]], INDEX(average_value[avg_price/sqrft], MATCH(1, (average_value[ZIP_CODE]=manhattan_property_sales[[#This Row],[ZIP_CODE]])*(average_value[BUILDING_CLASS]=manhattan_property_sales[[#This Row],[BUILDING_CLASS]]), 0)) )</f>
        <v>4047.9387000000002</v>
      </c>
      <c r="I25">
        <f>IF(manhattan_property_sales[[#This Row],[SALE_PRICE]]&gt;0, manhattan_property_sales[[#This Row],[SALE_PRICE]], manhattan_property_sales[[#This Row],[SQUARE_FEET]] * manhattan_property_sales[[#This Row],[Estimated $/sqrft]])</f>
        <v>22255566.972600002</v>
      </c>
    </row>
    <row r="26" spans="1:9" x14ac:dyDescent="0.25">
      <c r="A26" s="1" t="s">
        <v>24</v>
      </c>
      <c r="B26" s="1" t="s">
        <v>37</v>
      </c>
      <c r="C26" s="2">
        <v>10014</v>
      </c>
      <c r="D26" s="3" t="s">
        <v>9</v>
      </c>
      <c r="E26">
        <v>4104</v>
      </c>
      <c r="F26">
        <v>17700000</v>
      </c>
      <c r="G26">
        <v>4312.8654999999999</v>
      </c>
      <c r="H26">
        <f t="array" ref="H26">IF(manhattan_property_sales[[#This Row],[Price/sqrft]]&gt;0, manhattan_property_sales[[#This Row],[Price/sqrft]], INDEX(average_value[avg_price/sqrft], MATCH(1, (average_value[ZIP_CODE]=manhattan_property_sales[[#This Row],[ZIP_CODE]])*(average_value[BUILDING_CLASS]=manhattan_property_sales[[#This Row],[BUILDING_CLASS]]), 0)) )</f>
        <v>4312.8654999999999</v>
      </c>
      <c r="I26">
        <f>IF(manhattan_property_sales[[#This Row],[SALE_PRICE]]&gt;0, manhattan_property_sales[[#This Row],[SALE_PRICE]], manhattan_property_sales[[#This Row],[SQUARE_FEET]] * manhattan_property_sales[[#This Row],[Estimated $/sqrft]])</f>
        <v>17700000</v>
      </c>
    </row>
    <row r="27" spans="1:9" x14ac:dyDescent="0.25">
      <c r="A27" s="1" t="s">
        <v>24</v>
      </c>
      <c r="B27" s="1" t="s">
        <v>38</v>
      </c>
      <c r="C27" s="2">
        <v>10014</v>
      </c>
      <c r="D27" s="3" t="s">
        <v>9</v>
      </c>
      <c r="E27">
        <v>4400</v>
      </c>
      <c r="F27">
        <v>19999900</v>
      </c>
      <c r="G27">
        <v>4545.4318000000003</v>
      </c>
      <c r="H27">
        <f t="array" ref="H27">IF(manhattan_property_sales[[#This Row],[Price/sqrft]]&gt;0, manhattan_property_sales[[#This Row],[Price/sqrft]], INDEX(average_value[avg_price/sqrft], MATCH(1, (average_value[ZIP_CODE]=manhattan_property_sales[[#This Row],[ZIP_CODE]])*(average_value[BUILDING_CLASS]=manhattan_property_sales[[#This Row],[BUILDING_CLASS]]), 0)) )</f>
        <v>4545.4318000000003</v>
      </c>
      <c r="I27">
        <f>IF(manhattan_property_sales[[#This Row],[SALE_PRICE]]&gt;0, manhattan_property_sales[[#This Row],[SALE_PRICE]], manhattan_property_sales[[#This Row],[SQUARE_FEET]] * manhattan_property_sales[[#This Row],[Estimated $/sqrft]])</f>
        <v>19999900</v>
      </c>
    </row>
    <row r="28" spans="1:9" x14ac:dyDescent="0.25">
      <c r="A28" s="1" t="s">
        <v>24</v>
      </c>
      <c r="B28" s="1" t="s">
        <v>39</v>
      </c>
      <c r="C28" s="2">
        <v>10014</v>
      </c>
      <c r="D28" s="3" t="s">
        <v>9</v>
      </c>
      <c r="E28">
        <v>2520</v>
      </c>
      <c r="F28">
        <v>9600000</v>
      </c>
      <c r="G28">
        <v>3809.5237999999999</v>
      </c>
      <c r="H28">
        <f t="array" ref="H28">IF(manhattan_property_sales[[#This Row],[Price/sqrft]]&gt;0, manhattan_property_sales[[#This Row],[Price/sqrft]], INDEX(average_value[avg_price/sqrft], MATCH(1, (average_value[ZIP_CODE]=manhattan_property_sales[[#This Row],[ZIP_CODE]])*(average_value[BUILDING_CLASS]=manhattan_property_sales[[#This Row],[BUILDING_CLASS]]), 0)) )</f>
        <v>3809.5237999999999</v>
      </c>
      <c r="I28">
        <f>IF(manhattan_property_sales[[#This Row],[SALE_PRICE]]&gt;0, manhattan_property_sales[[#This Row],[SALE_PRICE]], manhattan_property_sales[[#This Row],[SQUARE_FEET]] * manhattan_property_sales[[#This Row],[Estimated $/sqrft]])</f>
        <v>9600000</v>
      </c>
    </row>
    <row r="29" spans="1:9" x14ac:dyDescent="0.25">
      <c r="A29" s="1" t="s">
        <v>24</v>
      </c>
      <c r="B29" s="1" t="s">
        <v>40</v>
      </c>
      <c r="C29" s="2">
        <v>10014</v>
      </c>
      <c r="D29" s="3" t="s">
        <v>9</v>
      </c>
      <c r="E29">
        <v>3984</v>
      </c>
      <c r="F29">
        <v>11500000</v>
      </c>
      <c r="G29">
        <v>2886.5462000000002</v>
      </c>
      <c r="H29">
        <f t="array" ref="H29">IF(manhattan_property_sales[[#This Row],[Price/sqrft]]&gt;0, manhattan_property_sales[[#This Row],[Price/sqrft]], INDEX(average_value[avg_price/sqrft], MATCH(1, (average_value[ZIP_CODE]=manhattan_property_sales[[#This Row],[ZIP_CODE]])*(average_value[BUILDING_CLASS]=manhattan_property_sales[[#This Row],[BUILDING_CLASS]]), 0)) )</f>
        <v>2886.5462000000002</v>
      </c>
      <c r="I29">
        <f>IF(manhattan_property_sales[[#This Row],[SALE_PRICE]]&gt;0, manhattan_property_sales[[#This Row],[SALE_PRICE]], manhattan_property_sales[[#This Row],[SQUARE_FEET]] * manhattan_property_sales[[#This Row],[Estimated $/sqrft]])</f>
        <v>11500000</v>
      </c>
    </row>
    <row r="30" spans="1:9" x14ac:dyDescent="0.25">
      <c r="A30" s="1" t="s">
        <v>24</v>
      </c>
      <c r="B30" s="1" t="s">
        <v>41</v>
      </c>
      <c r="C30" s="2">
        <v>10014</v>
      </c>
      <c r="D30" s="3" t="s">
        <v>9</v>
      </c>
      <c r="E30">
        <v>3038</v>
      </c>
      <c r="F30">
        <v>8200000</v>
      </c>
      <c r="G30">
        <v>2699.1442000000002</v>
      </c>
      <c r="H30">
        <f t="array" ref="H30">IF(manhattan_property_sales[[#This Row],[Price/sqrft]]&gt;0, manhattan_property_sales[[#This Row],[Price/sqrft]], INDEX(average_value[avg_price/sqrft], MATCH(1, (average_value[ZIP_CODE]=manhattan_property_sales[[#This Row],[ZIP_CODE]])*(average_value[BUILDING_CLASS]=manhattan_property_sales[[#This Row],[BUILDING_CLASS]]), 0)) )</f>
        <v>2699.1442000000002</v>
      </c>
      <c r="I30">
        <f>IF(manhattan_property_sales[[#This Row],[SALE_PRICE]]&gt;0, manhattan_property_sales[[#This Row],[SALE_PRICE]], manhattan_property_sales[[#This Row],[SQUARE_FEET]] * manhattan_property_sales[[#This Row],[Estimated $/sqrft]])</f>
        <v>8200000</v>
      </c>
    </row>
    <row r="31" spans="1:9" x14ac:dyDescent="0.25">
      <c r="A31" s="1" t="s">
        <v>24</v>
      </c>
      <c r="B31" s="1" t="s">
        <v>42</v>
      </c>
      <c r="C31" s="2">
        <v>10014</v>
      </c>
      <c r="D31" s="3" t="s">
        <v>9</v>
      </c>
      <c r="E31">
        <v>2280</v>
      </c>
      <c r="F31">
        <v>6850000</v>
      </c>
      <c r="G31">
        <v>3004.386</v>
      </c>
      <c r="H31">
        <f t="array" ref="H31">IF(manhattan_property_sales[[#This Row],[Price/sqrft]]&gt;0, manhattan_property_sales[[#This Row],[Price/sqrft]], INDEX(average_value[avg_price/sqrft], MATCH(1, (average_value[ZIP_CODE]=manhattan_property_sales[[#This Row],[ZIP_CODE]])*(average_value[BUILDING_CLASS]=manhattan_property_sales[[#This Row],[BUILDING_CLASS]]), 0)) )</f>
        <v>3004.386</v>
      </c>
      <c r="I31">
        <f>IF(manhattan_property_sales[[#This Row],[SALE_PRICE]]&gt;0, manhattan_property_sales[[#This Row],[SALE_PRICE]], manhattan_property_sales[[#This Row],[SQUARE_FEET]] * manhattan_property_sales[[#This Row],[Estimated $/sqrft]])</f>
        <v>6850000</v>
      </c>
    </row>
    <row r="32" spans="1:9" x14ac:dyDescent="0.25">
      <c r="A32" s="1" t="s">
        <v>24</v>
      </c>
      <c r="B32" s="1" t="s">
        <v>43</v>
      </c>
      <c r="C32" s="2">
        <v>10014</v>
      </c>
      <c r="D32" s="3" t="s">
        <v>9</v>
      </c>
      <c r="E32">
        <v>999</v>
      </c>
      <c r="F32">
        <v>4400000</v>
      </c>
      <c r="G32">
        <v>4404.4044000000004</v>
      </c>
      <c r="H32">
        <f t="array" ref="H32">IF(manhattan_property_sales[[#This Row],[Price/sqrft]]&gt;0, manhattan_property_sales[[#This Row],[Price/sqrft]], INDEX(average_value[avg_price/sqrft], MATCH(1, (average_value[ZIP_CODE]=manhattan_property_sales[[#This Row],[ZIP_CODE]])*(average_value[BUILDING_CLASS]=manhattan_property_sales[[#This Row],[BUILDING_CLASS]]), 0)) )</f>
        <v>4404.4044000000004</v>
      </c>
      <c r="I32">
        <f>IF(manhattan_property_sales[[#This Row],[SALE_PRICE]]&gt;0, manhattan_property_sales[[#This Row],[SALE_PRICE]], manhattan_property_sales[[#This Row],[SQUARE_FEET]] * manhattan_property_sales[[#This Row],[Estimated $/sqrft]])</f>
        <v>4400000</v>
      </c>
    </row>
    <row r="33" spans="1:9" x14ac:dyDescent="0.25">
      <c r="A33" s="1" t="s">
        <v>24</v>
      </c>
      <c r="B33" s="1" t="s">
        <v>44</v>
      </c>
      <c r="C33" s="2">
        <v>10014</v>
      </c>
      <c r="D33" s="3" t="s">
        <v>9</v>
      </c>
      <c r="E33">
        <v>3840</v>
      </c>
      <c r="F33">
        <v>33350000</v>
      </c>
      <c r="G33">
        <v>8684.8958000000002</v>
      </c>
      <c r="H33">
        <f t="array" ref="H33">IF(manhattan_property_sales[[#This Row],[Price/sqrft]]&gt;0, manhattan_property_sales[[#This Row],[Price/sqrft]], INDEX(average_value[avg_price/sqrft], MATCH(1, (average_value[ZIP_CODE]=manhattan_property_sales[[#This Row],[ZIP_CODE]])*(average_value[BUILDING_CLASS]=manhattan_property_sales[[#This Row],[BUILDING_CLASS]]), 0)) )</f>
        <v>8684.8958000000002</v>
      </c>
      <c r="I33">
        <f>IF(manhattan_property_sales[[#This Row],[SALE_PRICE]]&gt;0, manhattan_property_sales[[#This Row],[SALE_PRICE]], manhattan_property_sales[[#This Row],[SQUARE_FEET]] * manhattan_property_sales[[#This Row],[Estimated $/sqrft]])</f>
        <v>33350000</v>
      </c>
    </row>
    <row r="34" spans="1:9" x14ac:dyDescent="0.25">
      <c r="A34" s="1" t="s">
        <v>24</v>
      </c>
      <c r="B34" s="1" t="s">
        <v>45</v>
      </c>
      <c r="C34" s="2">
        <v>10014</v>
      </c>
      <c r="D34" s="3" t="s">
        <v>16</v>
      </c>
      <c r="E34">
        <v>2256</v>
      </c>
      <c r="F34">
        <v>0</v>
      </c>
      <c r="G34">
        <v>0</v>
      </c>
      <c r="H34">
        <f t="array" ref="H34">IF(manhattan_property_sales[[#This Row],[Price/sqrft]]&gt;0, manhattan_property_sales[[#This Row],[Price/sqrft]], INDEX(average_value[avg_price/sqrft], MATCH(1, (average_value[ZIP_CODE]=manhattan_property_sales[[#This Row],[ZIP_CODE]])*(average_value[BUILDING_CLASS]=manhattan_property_sales[[#This Row],[BUILDING_CLASS]]), 0)) )</f>
        <v>3235.8155999999999</v>
      </c>
      <c r="I34">
        <f>IF(manhattan_property_sales[[#This Row],[SALE_PRICE]]&gt;0, manhattan_property_sales[[#This Row],[SALE_PRICE]], manhattan_property_sales[[#This Row],[SQUARE_FEET]] * manhattan_property_sales[[#This Row],[Estimated $/sqrft]])</f>
        <v>7299999.9935999997</v>
      </c>
    </row>
    <row r="35" spans="1:9" x14ac:dyDescent="0.25">
      <c r="A35" s="1" t="s">
        <v>24</v>
      </c>
      <c r="B35" s="1" t="s">
        <v>46</v>
      </c>
      <c r="C35" s="2">
        <v>10014</v>
      </c>
      <c r="D35" s="3" t="s">
        <v>16</v>
      </c>
      <c r="E35">
        <v>2256</v>
      </c>
      <c r="F35">
        <v>7300000</v>
      </c>
      <c r="G35">
        <v>3235.8155999999999</v>
      </c>
      <c r="H35">
        <f t="array" ref="H35">IF(manhattan_property_sales[[#This Row],[Price/sqrft]]&gt;0, manhattan_property_sales[[#This Row],[Price/sqrft]], INDEX(average_value[avg_price/sqrft], MATCH(1, (average_value[ZIP_CODE]=manhattan_property_sales[[#This Row],[ZIP_CODE]])*(average_value[BUILDING_CLASS]=manhattan_property_sales[[#This Row],[BUILDING_CLASS]]), 0)) )</f>
        <v>3235.8155999999999</v>
      </c>
      <c r="I35">
        <f>IF(manhattan_property_sales[[#This Row],[SALE_PRICE]]&gt;0, manhattan_property_sales[[#This Row],[SALE_PRICE]], manhattan_property_sales[[#This Row],[SQUARE_FEET]] * manhattan_property_sales[[#This Row],[Estimated $/sqrft]])</f>
        <v>7300000</v>
      </c>
    </row>
    <row r="36" spans="1:9" x14ac:dyDescent="0.25">
      <c r="A36" s="1" t="s">
        <v>47</v>
      </c>
      <c r="B36" s="1" t="s">
        <v>48</v>
      </c>
      <c r="C36" s="2">
        <v>10026</v>
      </c>
      <c r="D36" s="3" t="s">
        <v>9</v>
      </c>
      <c r="E36">
        <v>3470</v>
      </c>
      <c r="F36">
        <v>2600000</v>
      </c>
      <c r="G36">
        <v>749.27949999999998</v>
      </c>
      <c r="H36">
        <f t="array" ref="H36">IF(manhattan_property_sales[[#This Row],[Price/sqrft]]&gt;0, manhattan_property_sales[[#This Row],[Price/sqrft]], INDEX(average_value[avg_price/sqrft], MATCH(1, (average_value[ZIP_CODE]=manhattan_property_sales[[#This Row],[ZIP_CODE]])*(average_value[BUILDING_CLASS]=manhattan_property_sales[[#This Row],[BUILDING_CLASS]]), 0)) )</f>
        <v>749.27949999999998</v>
      </c>
      <c r="I36">
        <f>IF(manhattan_property_sales[[#This Row],[SALE_PRICE]]&gt;0, manhattan_property_sales[[#This Row],[SALE_PRICE]], manhattan_property_sales[[#This Row],[SQUARE_FEET]] * manhattan_property_sales[[#This Row],[Estimated $/sqrft]])</f>
        <v>2600000</v>
      </c>
    </row>
    <row r="37" spans="1:9" x14ac:dyDescent="0.25">
      <c r="A37" s="1" t="s">
        <v>47</v>
      </c>
      <c r="B37" s="1" t="s">
        <v>49</v>
      </c>
      <c r="C37" s="2">
        <v>10026</v>
      </c>
      <c r="D37" s="3" t="s">
        <v>9</v>
      </c>
      <c r="E37">
        <v>4480</v>
      </c>
      <c r="F37">
        <v>3830000</v>
      </c>
      <c r="G37">
        <v>854.91070000000002</v>
      </c>
      <c r="H37">
        <f t="array" ref="H37">IF(manhattan_property_sales[[#This Row],[Price/sqrft]]&gt;0, manhattan_property_sales[[#This Row],[Price/sqrft]], INDEX(average_value[avg_price/sqrft], MATCH(1, (average_value[ZIP_CODE]=manhattan_property_sales[[#This Row],[ZIP_CODE]])*(average_value[BUILDING_CLASS]=manhattan_property_sales[[#This Row],[BUILDING_CLASS]]), 0)) )</f>
        <v>854.91070000000002</v>
      </c>
      <c r="I37">
        <f>IF(manhattan_property_sales[[#This Row],[SALE_PRICE]]&gt;0, manhattan_property_sales[[#This Row],[SALE_PRICE]], manhattan_property_sales[[#This Row],[SQUARE_FEET]] * manhattan_property_sales[[#This Row],[Estimated $/sqrft]])</f>
        <v>3830000</v>
      </c>
    </row>
    <row r="38" spans="1:9" x14ac:dyDescent="0.25">
      <c r="A38" s="1" t="s">
        <v>47</v>
      </c>
      <c r="B38" s="1" t="s">
        <v>50</v>
      </c>
      <c r="C38" s="2">
        <v>10027</v>
      </c>
      <c r="D38" s="3" t="s">
        <v>9</v>
      </c>
      <c r="E38">
        <v>3060</v>
      </c>
      <c r="F38">
        <v>3130000</v>
      </c>
      <c r="G38">
        <v>1022.8758</v>
      </c>
      <c r="H38">
        <f t="array" ref="H38">IF(manhattan_property_sales[[#This Row],[Price/sqrft]]&gt;0, manhattan_property_sales[[#This Row],[Price/sqrft]], INDEX(average_value[avg_price/sqrft], MATCH(1, (average_value[ZIP_CODE]=manhattan_property_sales[[#This Row],[ZIP_CODE]])*(average_value[BUILDING_CLASS]=manhattan_property_sales[[#This Row],[BUILDING_CLASS]]), 0)) )</f>
        <v>1022.8758</v>
      </c>
      <c r="I38">
        <f>IF(manhattan_property_sales[[#This Row],[SALE_PRICE]]&gt;0, manhattan_property_sales[[#This Row],[SALE_PRICE]], manhattan_property_sales[[#This Row],[SQUARE_FEET]] * manhattan_property_sales[[#This Row],[Estimated $/sqrft]])</f>
        <v>3130000</v>
      </c>
    </row>
    <row r="39" spans="1:9" x14ac:dyDescent="0.25">
      <c r="A39" s="1" t="s">
        <v>47</v>
      </c>
      <c r="B39" s="1" t="s">
        <v>51</v>
      </c>
      <c r="C39" s="2">
        <v>10027</v>
      </c>
      <c r="D39" s="3" t="s">
        <v>29</v>
      </c>
      <c r="E39">
        <v>4788</v>
      </c>
      <c r="F39">
        <v>0</v>
      </c>
      <c r="G39">
        <v>0</v>
      </c>
      <c r="H39">
        <f t="array" ref="H39">IF(manhattan_property_sales[[#This Row],[Price/sqrft]]&gt;0, manhattan_property_sales[[#This Row],[Price/sqrft]], INDEX(average_value[avg_price/sqrft], MATCH(1, (average_value[ZIP_CODE]=manhattan_property_sales[[#This Row],[ZIP_CODE]])*(average_value[BUILDING_CLASS]=manhattan_property_sales[[#This Row],[BUILDING_CLASS]]), 0)) )</f>
        <v>674.92070000000001</v>
      </c>
      <c r="I39">
        <f>IF(manhattan_property_sales[[#This Row],[SALE_PRICE]]&gt;0, manhattan_property_sales[[#This Row],[SALE_PRICE]], manhattan_property_sales[[#This Row],[SQUARE_FEET]] * manhattan_property_sales[[#This Row],[Estimated $/sqrft]])</f>
        <v>3231520.3116000001</v>
      </c>
    </row>
    <row r="40" spans="1:9" x14ac:dyDescent="0.25">
      <c r="A40" s="1" t="s">
        <v>47</v>
      </c>
      <c r="B40" s="1" t="s">
        <v>51</v>
      </c>
      <c r="C40" s="2">
        <v>10027</v>
      </c>
      <c r="D40" s="3" t="s">
        <v>29</v>
      </c>
      <c r="E40">
        <v>4788</v>
      </c>
      <c r="F40">
        <v>2500000</v>
      </c>
      <c r="G40">
        <v>522.13869999999997</v>
      </c>
      <c r="H40">
        <f t="array" ref="H40">IF(manhattan_property_sales[[#This Row],[Price/sqrft]]&gt;0, manhattan_property_sales[[#This Row],[Price/sqrft]], INDEX(average_value[avg_price/sqrft], MATCH(1, (average_value[ZIP_CODE]=manhattan_property_sales[[#This Row],[ZIP_CODE]])*(average_value[BUILDING_CLASS]=manhattan_property_sales[[#This Row],[BUILDING_CLASS]]), 0)) )</f>
        <v>522.13869999999997</v>
      </c>
      <c r="I40">
        <f>IF(manhattan_property_sales[[#This Row],[SALE_PRICE]]&gt;0, manhattan_property_sales[[#This Row],[SALE_PRICE]], manhattan_property_sales[[#This Row],[SQUARE_FEET]] * manhattan_property_sales[[#This Row],[Estimated $/sqrft]])</f>
        <v>2500000</v>
      </c>
    </row>
    <row r="41" spans="1:9" x14ac:dyDescent="0.25">
      <c r="A41" s="1" t="s">
        <v>47</v>
      </c>
      <c r="B41" s="1" t="s">
        <v>52</v>
      </c>
      <c r="C41" s="2">
        <v>10027</v>
      </c>
      <c r="D41" s="3" t="s">
        <v>29</v>
      </c>
      <c r="E41">
        <v>4800</v>
      </c>
      <c r="F41">
        <v>0</v>
      </c>
      <c r="G41">
        <v>0</v>
      </c>
      <c r="H41">
        <f t="array" ref="H41">IF(manhattan_property_sales[[#This Row],[Price/sqrft]]&gt;0, manhattan_property_sales[[#This Row],[Price/sqrft]], INDEX(average_value[avg_price/sqrft], MATCH(1, (average_value[ZIP_CODE]=manhattan_property_sales[[#This Row],[ZIP_CODE]])*(average_value[BUILDING_CLASS]=manhattan_property_sales[[#This Row],[BUILDING_CLASS]]), 0)) )</f>
        <v>674.92070000000001</v>
      </c>
      <c r="I41">
        <f>IF(manhattan_property_sales[[#This Row],[SALE_PRICE]]&gt;0, manhattan_property_sales[[#This Row],[SALE_PRICE]], manhattan_property_sales[[#This Row],[SQUARE_FEET]] * manhattan_property_sales[[#This Row],[Estimated $/sqrft]])</f>
        <v>3239619.36</v>
      </c>
    </row>
    <row r="42" spans="1:9" x14ac:dyDescent="0.25">
      <c r="A42" s="1" t="s">
        <v>47</v>
      </c>
      <c r="B42" s="1" t="s">
        <v>53</v>
      </c>
      <c r="C42" s="2">
        <v>10027</v>
      </c>
      <c r="D42" s="3" t="s">
        <v>29</v>
      </c>
      <c r="E42">
        <v>2960</v>
      </c>
      <c r="F42">
        <v>2450000</v>
      </c>
      <c r="G42">
        <v>827.70270000000005</v>
      </c>
      <c r="H42">
        <f t="array" ref="H42">IF(manhattan_property_sales[[#This Row],[Price/sqrft]]&gt;0, manhattan_property_sales[[#This Row],[Price/sqrft]], INDEX(average_value[avg_price/sqrft], MATCH(1, (average_value[ZIP_CODE]=manhattan_property_sales[[#This Row],[ZIP_CODE]])*(average_value[BUILDING_CLASS]=manhattan_property_sales[[#This Row],[BUILDING_CLASS]]), 0)) )</f>
        <v>827.70270000000005</v>
      </c>
      <c r="I42">
        <f>IF(manhattan_property_sales[[#This Row],[SALE_PRICE]]&gt;0, manhattan_property_sales[[#This Row],[SALE_PRICE]], manhattan_property_sales[[#This Row],[SQUARE_FEET]] * manhattan_property_sales[[#This Row],[Estimated $/sqrft]])</f>
        <v>2450000</v>
      </c>
    </row>
    <row r="43" spans="1:9" x14ac:dyDescent="0.25">
      <c r="A43" s="1" t="s">
        <v>47</v>
      </c>
      <c r="B43" s="1" t="s">
        <v>54</v>
      </c>
      <c r="C43" s="2">
        <v>10027</v>
      </c>
      <c r="D43" s="3" t="s">
        <v>16</v>
      </c>
      <c r="E43">
        <v>5120</v>
      </c>
      <c r="F43">
        <v>3135000</v>
      </c>
      <c r="G43">
        <v>612.30470000000003</v>
      </c>
      <c r="H43">
        <f t="array" ref="H43">IF(manhattan_property_sales[[#This Row],[Price/sqrft]]&gt;0, manhattan_property_sales[[#This Row],[Price/sqrft]], INDEX(average_value[avg_price/sqrft], MATCH(1, (average_value[ZIP_CODE]=manhattan_property_sales[[#This Row],[ZIP_CODE]])*(average_value[BUILDING_CLASS]=manhattan_property_sales[[#This Row],[BUILDING_CLASS]]), 0)) )</f>
        <v>612.30470000000003</v>
      </c>
      <c r="I43">
        <f>IF(manhattan_property_sales[[#This Row],[SALE_PRICE]]&gt;0, manhattan_property_sales[[#This Row],[SALE_PRICE]], manhattan_property_sales[[#This Row],[SQUARE_FEET]] * manhattan_property_sales[[#This Row],[Estimated $/sqrft]])</f>
        <v>3135000</v>
      </c>
    </row>
    <row r="44" spans="1:9" x14ac:dyDescent="0.25">
      <c r="A44" s="1" t="s">
        <v>47</v>
      </c>
      <c r="B44" s="1" t="s">
        <v>55</v>
      </c>
      <c r="C44" s="2">
        <v>10027</v>
      </c>
      <c r="D44" s="3" t="s">
        <v>16</v>
      </c>
      <c r="E44">
        <v>3335</v>
      </c>
      <c r="F44">
        <v>2950000</v>
      </c>
      <c r="G44">
        <v>884.55769999999995</v>
      </c>
      <c r="H44">
        <f t="array" ref="H44">IF(manhattan_property_sales[[#This Row],[Price/sqrft]]&gt;0, manhattan_property_sales[[#This Row],[Price/sqrft]], INDEX(average_value[avg_price/sqrft], MATCH(1, (average_value[ZIP_CODE]=manhattan_property_sales[[#This Row],[ZIP_CODE]])*(average_value[BUILDING_CLASS]=manhattan_property_sales[[#This Row],[BUILDING_CLASS]]), 0)) )</f>
        <v>884.55769999999995</v>
      </c>
      <c r="I44">
        <f>IF(manhattan_property_sales[[#This Row],[SALE_PRICE]]&gt;0, manhattan_property_sales[[#This Row],[SALE_PRICE]], manhattan_property_sales[[#This Row],[SQUARE_FEET]] * manhattan_property_sales[[#This Row],[Estimated $/sqrft]])</f>
        <v>2950000</v>
      </c>
    </row>
    <row r="45" spans="1:9" x14ac:dyDescent="0.25">
      <c r="A45" s="1" t="s">
        <v>47</v>
      </c>
      <c r="B45" s="1" t="s">
        <v>56</v>
      </c>
      <c r="C45" s="2">
        <v>10027</v>
      </c>
      <c r="D45" s="3" t="s">
        <v>16</v>
      </c>
      <c r="E45">
        <v>3600</v>
      </c>
      <c r="F45">
        <v>2100000</v>
      </c>
      <c r="G45">
        <v>583.33330000000001</v>
      </c>
      <c r="H45">
        <f t="array" ref="H45">IF(manhattan_property_sales[[#This Row],[Price/sqrft]]&gt;0, manhattan_property_sales[[#This Row],[Price/sqrft]], INDEX(average_value[avg_price/sqrft], MATCH(1, (average_value[ZIP_CODE]=manhattan_property_sales[[#This Row],[ZIP_CODE]])*(average_value[BUILDING_CLASS]=manhattan_property_sales[[#This Row],[BUILDING_CLASS]]), 0)) )</f>
        <v>583.33330000000001</v>
      </c>
      <c r="I45">
        <f>IF(manhattan_property_sales[[#This Row],[SALE_PRICE]]&gt;0, manhattan_property_sales[[#This Row],[SALE_PRICE]], manhattan_property_sales[[#This Row],[SQUARE_FEET]] * manhattan_property_sales[[#This Row],[Estimated $/sqrft]])</f>
        <v>2100000</v>
      </c>
    </row>
    <row r="46" spans="1:9" x14ac:dyDescent="0.25">
      <c r="A46" s="1" t="s">
        <v>47</v>
      </c>
      <c r="B46" s="1" t="s">
        <v>57</v>
      </c>
      <c r="C46" s="2">
        <v>10030</v>
      </c>
      <c r="D46" s="3" t="s">
        <v>9</v>
      </c>
      <c r="E46">
        <v>4480</v>
      </c>
      <c r="F46">
        <v>3150000</v>
      </c>
      <c r="G46">
        <v>703.125</v>
      </c>
      <c r="H46">
        <f t="array" ref="H46">IF(manhattan_property_sales[[#This Row],[Price/sqrft]]&gt;0, manhattan_property_sales[[#This Row],[Price/sqrft]], INDEX(average_value[avg_price/sqrft], MATCH(1, (average_value[ZIP_CODE]=manhattan_property_sales[[#This Row],[ZIP_CODE]])*(average_value[BUILDING_CLASS]=manhattan_property_sales[[#This Row],[BUILDING_CLASS]]), 0)) )</f>
        <v>703.125</v>
      </c>
      <c r="I46">
        <f>IF(manhattan_property_sales[[#This Row],[SALE_PRICE]]&gt;0, manhattan_property_sales[[#This Row],[SALE_PRICE]], manhattan_property_sales[[#This Row],[SQUARE_FEET]] * manhattan_property_sales[[#This Row],[Estimated $/sqrft]])</f>
        <v>3150000</v>
      </c>
    </row>
    <row r="47" spans="1:9" x14ac:dyDescent="0.25">
      <c r="A47" s="1" t="s">
        <v>47</v>
      </c>
      <c r="B47" s="1" t="s">
        <v>58</v>
      </c>
      <c r="C47" s="2">
        <v>10030</v>
      </c>
      <c r="D47" s="3" t="s">
        <v>29</v>
      </c>
      <c r="E47">
        <v>3952</v>
      </c>
      <c r="F47">
        <v>0</v>
      </c>
      <c r="G47">
        <v>0</v>
      </c>
      <c r="H47">
        <f t="array" ref="H47">IF(manhattan_property_sales[[#This Row],[Price/sqrft]]&gt;0, manhattan_property_sales[[#This Row],[Price/sqrft]], INDEX(average_value[avg_price/sqrft], MATCH(1, (average_value[ZIP_CODE]=manhattan_property_sales[[#This Row],[ZIP_CODE]])*(average_value[BUILDING_CLASS]=manhattan_property_sales[[#This Row],[BUILDING_CLASS]]), 0)) )</f>
        <v>672.97590000000002</v>
      </c>
      <c r="I47">
        <f>IF(manhattan_property_sales[[#This Row],[SALE_PRICE]]&gt;0, manhattan_property_sales[[#This Row],[SALE_PRICE]], manhattan_property_sales[[#This Row],[SQUARE_FEET]] * manhattan_property_sales[[#This Row],[Estimated $/sqrft]])</f>
        <v>2659600.7568000001</v>
      </c>
    </row>
    <row r="48" spans="1:9" x14ac:dyDescent="0.25">
      <c r="A48" s="1" t="s">
        <v>47</v>
      </c>
      <c r="B48" s="1" t="s">
        <v>59</v>
      </c>
      <c r="C48" s="2">
        <v>10030</v>
      </c>
      <c r="D48" s="3" t="s">
        <v>29</v>
      </c>
      <c r="E48">
        <v>4733</v>
      </c>
      <c r="F48">
        <v>3210000</v>
      </c>
      <c r="G48">
        <v>678.21680000000003</v>
      </c>
      <c r="H48">
        <f t="array" ref="H48">IF(manhattan_property_sales[[#This Row],[Price/sqrft]]&gt;0, manhattan_property_sales[[#This Row],[Price/sqrft]], INDEX(average_value[avg_price/sqrft], MATCH(1, (average_value[ZIP_CODE]=manhattan_property_sales[[#This Row],[ZIP_CODE]])*(average_value[BUILDING_CLASS]=manhattan_property_sales[[#This Row],[BUILDING_CLASS]]), 0)) )</f>
        <v>678.21680000000003</v>
      </c>
      <c r="I48">
        <f>IF(manhattan_property_sales[[#This Row],[SALE_PRICE]]&gt;0, manhattan_property_sales[[#This Row],[SALE_PRICE]], manhattan_property_sales[[#This Row],[SQUARE_FEET]] * manhattan_property_sales[[#This Row],[Estimated $/sqrft]])</f>
        <v>3210000</v>
      </c>
    </row>
    <row r="49" spans="1:9" x14ac:dyDescent="0.25">
      <c r="A49" s="1" t="s">
        <v>47</v>
      </c>
      <c r="B49" s="1" t="s">
        <v>60</v>
      </c>
      <c r="C49" s="2">
        <v>10030</v>
      </c>
      <c r="D49" s="3" t="s">
        <v>29</v>
      </c>
      <c r="E49">
        <v>3744</v>
      </c>
      <c r="F49">
        <v>2500000</v>
      </c>
      <c r="G49">
        <v>667.73500000000001</v>
      </c>
      <c r="H49">
        <f t="array" ref="H49">IF(manhattan_property_sales[[#This Row],[Price/sqrft]]&gt;0, manhattan_property_sales[[#This Row],[Price/sqrft]], INDEX(average_value[avg_price/sqrft], MATCH(1, (average_value[ZIP_CODE]=manhattan_property_sales[[#This Row],[ZIP_CODE]])*(average_value[BUILDING_CLASS]=manhattan_property_sales[[#This Row],[BUILDING_CLASS]]), 0)) )</f>
        <v>667.73500000000001</v>
      </c>
      <c r="I49">
        <f>IF(manhattan_property_sales[[#This Row],[SALE_PRICE]]&gt;0, manhattan_property_sales[[#This Row],[SALE_PRICE]], manhattan_property_sales[[#This Row],[SQUARE_FEET]] * manhattan_property_sales[[#This Row],[Estimated $/sqrft]])</f>
        <v>2500000</v>
      </c>
    </row>
    <row r="50" spans="1:9" x14ac:dyDescent="0.25">
      <c r="A50" s="1" t="s">
        <v>47</v>
      </c>
      <c r="B50" s="1" t="s">
        <v>61</v>
      </c>
      <c r="C50" s="2">
        <v>10030</v>
      </c>
      <c r="D50" s="3" t="s">
        <v>29</v>
      </c>
      <c r="E50">
        <v>2964</v>
      </c>
      <c r="F50">
        <v>0</v>
      </c>
      <c r="G50">
        <v>0</v>
      </c>
      <c r="H50">
        <f t="array" ref="H50">IF(manhattan_property_sales[[#This Row],[Price/sqrft]]&gt;0, manhattan_property_sales[[#This Row],[Price/sqrft]], INDEX(average_value[avg_price/sqrft], MATCH(1, (average_value[ZIP_CODE]=manhattan_property_sales[[#This Row],[ZIP_CODE]])*(average_value[BUILDING_CLASS]=manhattan_property_sales[[#This Row],[BUILDING_CLASS]]), 0)) )</f>
        <v>672.97590000000002</v>
      </c>
      <c r="I50">
        <f>IF(manhattan_property_sales[[#This Row],[SALE_PRICE]]&gt;0, manhattan_property_sales[[#This Row],[SALE_PRICE]], manhattan_property_sales[[#This Row],[SQUARE_FEET]] * manhattan_property_sales[[#This Row],[Estimated $/sqrft]])</f>
        <v>1994700.5676000002</v>
      </c>
    </row>
    <row r="51" spans="1:9" x14ac:dyDescent="0.25">
      <c r="A51" s="1" t="s">
        <v>47</v>
      </c>
      <c r="B51" s="1" t="s">
        <v>62</v>
      </c>
      <c r="C51" s="2">
        <v>10031</v>
      </c>
      <c r="D51" s="3" t="s">
        <v>9</v>
      </c>
      <c r="E51">
        <v>3400</v>
      </c>
      <c r="F51">
        <v>2825000</v>
      </c>
      <c r="G51">
        <v>830.88239999999996</v>
      </c>
      <c r="H51">
        <f t="array" ref="H51">IF(manhattan_property_sales[[#This Row],[Price/sqrft]]&gt;0, manhattan_property_sales[[#This Row],[Price/sqrft]], INDEX(average_value[avg_price/sqrft], MATCH(1, (average_value[ZIP_CODE]=manhattan_property_sales[[#This Row],[ZIP_CODE]])*(average_value[BUILDING_CLASS]=manhattan_property_sales[[#This Row],[BUILDING_CLASS]]), 0)) )</f>
        <v>830.88239999999996</v>
      </c>
      <c r="I51">
        <f>IF(manhattan_property_sales[[#This Row],[SALE_PRICE]]&gt;0, manhattan_property_sales[[#This Row],[SALE_PRICE]], manhattan_property_sales[[#This Row],[SQUARE_FEET]] * manhattan_property_sales[[#This Row],[Estimated $/sqrft]])</f>
        <v>2825000</v>
      </c>
    </row>
    <row r="52" spans="1:9" x14ac:dyDescent="0.25">
      <c r="A52" s="1" t="s">
        <v>47</v>
      </c>
      <c r="B52" s="1" t="s">
        <v>63</v>
      </c>
      <c r="C52" s="2">
        <v>10031</v>
      </c>
      <c r="D52" s="3" t="s">
        <v>16</v>
      </c>
      <c r="E52">
        <v>6264</v>
      </c>
      <c r="F52">
        <v>2600000</v>
      </c>
      <c r="G52">
        <v>415.0702</v>
      </c>
      <c r="H52">
        <f t="array" ref="H52">IF(manhattan_property_sales[[#This Row],[Price/sqrft]]&gt;0, manhattan_property_sales[[#This Row],[Price/sqrft]], INDEX(average_value[avg_price/sqrft], MATCH(1, (average_value[ZIP_CODE]=manhattan_property_sales[[#This Row],[ZIP_CODE]])*(average_value[BUILDING_CLASS]=manhattan_property_sales[[#This Row],[BUILDING_CLASS]]), 0)) )</f>
        <v>415.0702</v>
      </c>
      <c r="I52">
        <f>IF(manhattan_property_sales[[#This Row],[SALE_PRICE]]&gt;0, manhattan_property_sales[[#This Row],[SALE_PRICE]], manhattan_property_sales[[#This Row],[SQUARE_FEET]] * manhattan_property_sales[[#This Row],[Estimated $/sqrft]])</f>
        <v>2600000</v>
      </c>
    </row>
    <row r="53" spans="1:9" x14ac:dyDescent="0.25">
      <c r="A53" s="1" t="s">
        <v>47</v>
      </c>
      <c r="B53" s="1" t="s">
        <v>64</v>
      </c>
      <c r="C53" s="2">
        <v>10031</v>
      </c>
      <c r="D53" s="3" t="s">
        <v>16</v>
      </c>
      <c r="E53">
        <v>3952</v>
      </c>
      <c r="F53">
        <v>2500000</v>
      </c>
      <c r="G53">
        <v>632.59109999999998</v>
      </c>
      <c r="H53">
        <f t="array" ref="H53">IF(manhattan_property_sales[[#This Row],[Price/sqrft]]&gt;0, manhattan_property_sales[[#This Row],[Price/sqrft]], INDEX(average_value[avg_price/sqrft], MATCH(1, (average_value[ZIP_CODE]=manhattan_property_sales[[#This Row],[ZIP_CODE]])*(average_value[BUILDING_CLASS]=manhattan_property_sales[[#This Row],[BUILDING_CLASS]]), 0)) )</f>
        <v>632.59109999999998</v>
      </c>
      <c r="I53">
        <f>IF(manhattan_property_sales[[#This Row],[SALE_PRICE]]&gt;0, manhattan_property_sales[[#This Row],[SALE_PRICE]], manhattan_property_sales[[#This Row],[SQUARE_FEET]] * manhattan_property_sales[[#This Row],[Estimated $/sqrft]])</f>
        <v>2500000</v>
      </c>
    </row>
    <row r="54" spans="1:9" x14ac:dyDescent="0.25">
      <c r="A54" s="1" t="s">
        <v>47</v>
      </c>
      <c r="B54" s="1" t="s">
        <v>65</v>
      </c>
      <c r="C54" s="2">
        <v>10035</v>
      </c>
      <c r="D54" s="3" t="s">
        <v>29</v>
      </c>
      <c r="E54">
        <v>804</v>
      </c>
      <c r="F54">
        <v>2050000</v>
      </c>
      <c r="G54">
        <v>2549.7512000000002</v>
      </c>
      <c r="H54">
        <f t="array" ref="H54">IF(manhattan_property_sales[[#This Row],[Price/sqrft]]&gt;0, manhattan_property_sales[[#This Row],[Price/sqrft]], INDEX(average_value[avg_price/sqrft], MATCH(1, (average_value[ZIP_CODE]=manhattan_property_sales[[#This Row],[ZIP_CODE]])*(average_value[BUILDING_CLASS]=manhattan_property_sales[[#This Row],[BUILDING_CLASS]]), 0)) )</f>
        <v>2549.7512000000002</v>
      </c>
      <c r="I54">
        <f>IF(manhattan_property_sales[[#This Row],[SALE_PRICE]]&gt;0, manhattan_property_sales[[#This Row],[SALE_PRICE]], manhattan_property_sales[[#This Row],[SQUARE_FEET]] * manhattan_property_sales[[#This Row],[Estimated $/sqrft]])</f>
        <v>2050000</v>
      </c>
    </row>
    <row r="55" spans="1:9" x14ac:dyDescent="0.25">
      <c r="A55" s="1" t="s">
        <v>66</v>
      </c>
      <c r="B55" s="1" t="s">
        <v>67</v>
      </c>
      <c r="C55" s="2">
        <v>10463</v>
      </c>
      <c r="D55" s="3" t="s">
        <v>68</v>
      </c>
      <c r="E55">
        <v>2094</v>
      </c>
      <c r="F55">
        <v>0</v>
      </c>
      <c r="G55">
        <v>0</v>
      </c>
      <c r="H55">
        <f t="array" ref="H55">IF(manhattan_property_sales[[#This Row],[Price/sqrft]]&gt;0, manhattan_property_sales[[#This Row],[Price/sqrft]], INDEX(average_value[avg_price/sqrft], MATCH(1, (average_value[ZIP_CODE]=manhattan_property_sales[[#This Row],[ZIP_CODE]])*(average_value[BUILDING_CLASS]=manhattan_property_sales[[#This Row],[BUILDING_CLASS]]), 0)) )</f>
        <v>498.49700000000001</v>
      </c>
      <c r="I55">
        <f>IF(manhattan_property_sales[[#This Row],[SALE_PRICE]]&gt;0, manhattan_property_sales[[#This Row],[SALE_PRICE]], manhattan_property_sales[[#This Row],[SQUARE_FEET]] * manhattan_property_sales[[#This Row],[Estimated $/sqrft]])</f>
        <v>1043852.718</v>
      </c>
    </row>
    <row r="56" spans="1:9" x14ac:dyDescent="0.25">
      <c r="A56" s="1" t="s">
        <v>66</v>
      </c>
      <c r="B56" s="1" t="s">
        <v>69</v>
      </c>
      <c r="C56" s="2">
        <v>10463</v>
      </c>
      <c r="D56" s="3" t="s">
        <v>68</v>
      </c>
      <c r="E56">
        <v>1856</v>
      </c>
      <c r="F56">
        <v>0</v>
      </c>
      <c r="G56">
        <v>0</v>
      </c>
      <c r="H56">
        <f t="array" ref="H56">IF(manhattan_property_sales[[#This Row],[Price/sqrft]]&gt;0, manhattan_property_sales[[#This Row],[Price/sqrft]], INDEX(average_value[avg_price/sqrft], MATCH(1, (average_value[ZIP_CODE]=manhattan_property_sales[[#This Row],[ZIP_CODE]])*(average_value[BUILDING_CLASS]=manhattan_property_sales[[#This Row],[BUILDING_CLASS]]), 0)) )</f>
        <v>498.49700000000001</v>
      </c>
      <c r="I56">
        <f>IF(manhattan_property_sales[[#This Row],[SALE_PRICE]]&gt;0, manhattan_property_sales[[#This Row],[SALE_PRICE]], manhattan_property_sales[[#This Row],[SQUARE_FEET]] * manhattan_property_sales[[#This Row],[Estimated $/sqrft]])</f>
        <v>925210.43200000003</v>
      </c>
    </row>
    <row r="57" spans="1:9" x14ac:dyDescent="0.25">
      <c r="A57" s="1" t="s">
        <v>66</v>
      </c>
      <c r="B57" s="1" t="s">
        <v>70</v>
      </c>
      <c r="C57" s="2">
        <v>10463</v>
      </c>
      <c r="D57" s="3" t="s">
        <v>68</v>
      </c>
      <c r="E57">
        <v>1996</v>
      </c>
      <c r="F57">
        <v>995000</v>
      </c>
      <c r="G57">
        <v>498.49700000000001</v>
      </c>
      <c r="H57">
        <f t="array" ref="H57">IF(manhattan_property_sales[[#This Row],[Price/sqrft]]&gt;0, manhattan_property_sales[[#This Row],[Price/sqrft]], INDEX(average_value[avg_price/sqrft], MATCH(1, (average_value[ZIP_CODE]=manhattan_property_sales[[#This Row],[ZIP_CODE]])*(average_value[BUILDING_CLASS]=manhattan_property_sales[[#This Row],[BUILDING_CLASS]]), 0)) )</f>
        <v>498.49700000000001</v>
      </c>
      <c r="I57">
        <f>IF(manhattan_property_sales[[#This Row],[SALE_PRICE]]&gt;0, manhattan_property_sales[[#This Row],[SALE_PRICE]], manhattan_property_sales[[#This Row],[SQUARE_FEET]] * manhattan_property_sales[[#This Row],[Estimated $/sqrft]])</f>
        <v>995000</v>
      </c>
    </row>
    <row r="58" spans="1:9" x14ac:dyDescent="0.25">
      <c r="A58" s="1" t="s">
        <v>66</v>
      </c>
      <c r="B58" s="1" t="s">
        <v>71</v>
      </c>
      <c r="C58" s="2">
        <v>10463</v>
      </c>
      <c r="D58" s="3" t="s">
        <v>29</v>
      </c>
      <c r="E58">
        <v>1224</v>
      </c>
      <c r="F58">
        <v>688040</v>
      </c>
      <c r="G58">
        <v>562.12419999999997</v>
      </c>
      <c r="H58">
        <f t="array" ref="H58">IF(manhattan_property_sales[[#This Row],[Price/sqrft]]&gt;0, manhattan_property_sales[[#This Row],[Price/sqrft]], INDEX(average_value[avg_price/sqrft], MATCH(1, (average_value[ZIP_CODE]=manhattan_property_sales[[#This Row],[ZIP_CODE]])*(average_value[BUILDING_CLASS]=manhattan_property_sales[[#This Row],[BUILDING_CLASS]]), 0)) )</f>
        <v>562.12419999999997</v>
      </c>
      <c r="I58">
        <f>IF(manhattan_property_sales[[#This Row],[SALE_PRICE]]&gt;0, manhattan_property_sales[[#This Row],[SALE_PRICE]], manhattan_property_sales[[#This Row],[SQUARE_FEET]] * manhattan_property_sales[[#This Row],[Estimated $/sqrft]])</f>
        <v>688040</v>
      </c>
    </row>
    <row r="59" spans="1:9" x14ac:dyDescent="0.25">
      <c r="A59" s="1" t="s">
        <v>72</v>
      </c>
      <c r="B59" s="1" t="s">
        <v>73</v>
      </c>
      <c r="C59" s="2">
        <v>10017</v>
      </c>
      <c r="D59" s="3" t="s">
        <v>9</v>
      </c>
      <c r="E59">
        <v>4560</v>
      </c>
      <c r="F59">
        <v>6800000</v>
      </c>
      <c r="G59">
        <v>1491.2281</v>
      </c>
      <c r="H59">
        <f t="array" ref="H59">IF(manhattan_property_sales[[#This Row],[Price/sqrft]]&gt;0, manhattan_property_sales[[#This Row],[Price/sqrft]], INDEX(average_value[avg_price/sqrft], MATCH(1, (average_value[ZIP_CODE]=manhattan_property_sales[[#This Row],[ZIP_CODE]])*(average_value[BUILDING_CLASS]=manhattan_property_sales[[#This Row],[BUILDING_CLASS]]), 0)) )</f>
        <v>1491.2281</v>
      </c>
      <c r="I59">
        <f>IF(manhattan_property_sales[[#This Row],[SALE_PRICE]]&gt;0, manhattan_property_sales[[#This Row],[SALE_PRICE]], manhattan_property_sales[[#This Row],[SQUARE_FEET]] * manhattan_property_sales[[#This Row],[Estimated $/sqrft]])</f>
        <v>6800000</v>
      </c>
    </row>
    <row r="60" spans="1:9" x14ac:dyDescent="0.25">
      <c r="A60" s="1" t="s">
        <v>72</v>
      </c>
      <c r="B60" s="1" t="s">
        <v>74</v>
      </c>
      <c r="C60" s="2">
        <v>10019</v>
      </c>
      <c r="D60" s="3" t="s">
        <v>9</v>
      </c>
      <c r="E60">
        <v>7148</v>
      </c>
      <c r="F60">
        <v>7400000</v>
      </c>
      <c r="G60">
        <v>1035.2546</v>
      </c>
      <c r="H60">
        <f t="array" ref="H60">IF(manhattan_property_sales[[#This Row],[Price/sqrft]]&gt;0, manhattan_property_sales[[#This Row],[Price/sqrft]], INDEX(average_value[avg_price/sqrft], MATCH(1, (average_value[ZIP_CODE]=manhattan_property_sales[[#This Row],[ZIP_CODE]])*(average_value[BUILDING_CLASS]=manhattan_property_sales[[#This Row],[BUILDING_CLASS]]), 0)) )</f>
        <v>1035.2546</v>
      </c>
      <c r="I60">
        <f>IF(manhattan_property_sales[[#This Row],[SALE_PRICE]]&gt;0, manhattan_property_sales[[#This Row],[SALE_PRICE]], manhattan_property_sales[[#This Row],[SQUARE_FEET]] * manhattan_property_sales[[#This Row],[Estimated $/sqrft]])</f>
        <v>7400000</v>
      </c>
    </row>
    <row r="61" spans="1:9" x14ac:dyDescent="0.25">
      <c r="A61" s="1" t="s">
        <v>75</v>
      </c>
      <c r="B61" s="1" t="s">
        <v>76</v>
      </c>
      <c r="C61" s="2">
        <v>10016</v>
      </c>
      <c r="D61" s="3" t="s">
        <v>9</v>
      </c>
      <c r="E61">
        <v>3800</v>
      </c>
      <c r="F61">
        <v>0</v>
      </c>
      <c r="G61">
        <v>0</v>
      </c>
      <c r="H61">
        <f t="array" ref="H61">IF(manhattan_property_sales[[#This Row],[Price/sqrft]]&gt;0, manhattan_property_sales[[#This Row],[Price/sqrft]], INDEX(average_value[avg_price/sqrft], MATCH(1, (average_value[ZIP_CODE]=manhattan_property_sales[[#This Row],[ZIP_CODE]])*(average_value[BUILDING_CLASS]=manhattan_property_sales[[#This Row],[BUILDING_CLASS]]), 0)) )</f>
        <v>1761.0604000000001</v>
      </c>
      <c r="I61">
        <f>IF(manhattan_property_sales[[#This Row],[SALE_PRICE]]&gt;0, manhattan_property_sales[[#This Row],[SALE_PRICE]], manhattan_property_sales[[#This Row],[SQUARE_FEET]] * manhattan_property_sales[[#This Row],[Estimated $/sqrft]])</f>
        <v>6692029.5200000005</v>
      </c>
    </row>
    <row r="62" spans="1:9" x14ac:dyDescent="0.25">
      <c r="A62" s="1" t="s">
        <v>75</v>
      </c>
      <c r="B62" s="1" t="s">
        <v>77</v>
      </c>
      <c r="C62" s="2">
        <v>10016</v>
      </c>
      <c r="D62" s="3" t="s">
        <v>9</v>
      </c>
      <c r="E62">
        <v>2223</v>
      </c>
      <c r="F62">
        <v>5300000</v>
      </c>
      <c r="G62">
        <v>2384.1655000000001</v>
      </c>
      <c r="H62">
        <f t="array" ref="H62">IF(manhattan_property_sales[[#This Row],[Price/sqrft]]&gt;0, manhattan_property_sales[[#This Row],[Price/sqrft]], INDEX(average_value[avg_price/sqrft], MATCH(1, (average_value[ZIP_CODE]=manhattan_property_sales[[#This Row],[ZIP_CODE]])*(average_value[BUILDING_CLASS]=manhattan_property_sales[[#This Row],[BUILDING_CLASS]]), 0)) )</f>
        <v>2384.1655000000001</v>
      </c>
      <c r="I62">
        <f>IF(manhattan_property_sales[[#This Row],[SALE_PRICE]]&gt;0, manhattan_property_sales[[#This Row],[SALE_PRICE]], manhattan_property_sales[[#This Row],[SQUARE_FEET]] * manhattan_property_sales[[#This Row],[Estimated $/sqrft]])</f>
        <v>5300000</v>
      </c>
    </row>
    <row r="63" spans="1:9" x14ac:dyDescent="0.25">
      <c r="A63" s="1" t="s">
        <v>75</v>
      </c>
      <c r="B63" s="1" t="s">
        <v>78</v>
      </c>
      <c r="C63" s="2">
        <v>10016</v>
      </c>
      <c r="D63" s="3" t="s">
        <v>9</v>
      </c>
      <c r="E63">
        <v>5712</v>
      </c>
      <c r="F63">
        <v>6500000</v>
      </c>
      <c r="G63">
        <v>1137.9552000000001</v>
      </c>
      <c r="H63">
        <f t="array" ref="H63">IF(manhattan_property_sales[[#This Row],[Price/sqrft]]&gt;0, manhattan_property_sales[[#This Row],[Price/sqrft]], INDEX(average_value[avg_price/sqrft], MATCH(1, (average_value[ZIP_CODE]=manhattan_property_sales[[#This Row],[ZIP_CODE]])*(average_value[BUILDING_CLASS]=manhattan_property_sales[[#This Row],[BUILDING_CLASS]]), 0)) )</f>
        <v>1137.9552000000001</v>
      </c>
      <c r="I63">
        <f>IF(manhattan_property_sales[[#This Row],[SALE_PRICE]]&gt;0, manhattan_property_sales[[#This Row],[SALE_PRICE]], manhattan_property_sales[[#This Row],[SQUARE_FEET]] * manhattan_property_sales[[#This Row],[Estimated $/sqrft]])</f>
        <v>6500000</v>
      </c>
    </row>
    <row r="64" spans="1:9" x14ac:dyDescent="0.25">
      <c r="A64" s="1" t="s">
        <v>79</v>
      </c>
      <c r="B64" s="1" t="s">
        <v>80</v>
      </c>
      <c r="C64" s="2">
        <v>10021</v>
      </c>
      <c r="D64" s="3" t="s">
        <v>9</v>
      </c>
      <c r="E64">
        <v>2880</v>
      </c>
      <c r="F64">
        <v>0</v>
      </c>
      <c r="G64">
        <v>0</v>
      </c>
      <c r="H64">
        <f t="array" ref="H64">IF(manhattan_property_sales[[#This Row],[Price/sqrft]]&gt;0, manhattan_property_sales[[#This Row],[Price/sqrft]], INDEX(average_value[avg_price/sqrft], MATCH(1, (average_value[ZIP_CODE]=manhattan_property_sales[[#This Row],[ZIP_CODE]])*(average_value[BUILDING_CLASS]=manhattan_property_sales[[#This Row],[BUILDING_CLASS]]), 0)) )</f>
        <v>1926.6585</v>
      </c>
      <c r="I64">
        <f>IF(manhattan_property_sales[[#This Row],[SALE_PRICE]]&gt;0, manhattan_property_sales[[#This Row],[SALE_PRICE]], manhattan_property_sales[[#This Row],[SQUARE_FEET]] * manhattan_property_sales[[#This Row],[Estimated $/sqrft]])</f>
        <v>5548776.4800000004</v>
      </c>
    </row>
    <row r="65" spans="1:9" x14ac:dyDescent="0.25">
      <c r="A65" s="1" t="s">
        <v>79</v>
      </c>
      <c r="B65" s="1" t="s">
        <v>81</v>
      </c>
      <c r="C65" s="2">
        <v>10021</v>
      </c>
      <c r="D65" s="3" t="s">
        <v>9</v>
      </c>
      <c r="E65">
        <v>2700</v>
      </c>
      <c r="F65">
        <v>0</v>
      </c>
      <c r="G65">
        <v>0</v>
      </c>
      <c r="H65">
        <f t="array" ref="H65">IF(manhattan_property_sales[[#This Row],[Price/sqrft]]&gt;0, manhattan_property_sales[[#This Row],[Price/sqrft]], INDEX(average_value[avg_price/sqrft], MATCH(1, (average_value[ZIP_CODE]=manhattan_property_sales[[#This Row],[ZIP_CODE]])*(average_value[BUILDING_CLASS]=manhattan_property_sales[[#This Row],[BUILDING_CLASS]]), 0)) )</f>
        <v>1926.6585</v>
      </c>
      <c r="I65">
        <f>IF(manhattan_property_sales[[#This Row],[SALE_PRICE]]&gt;0, manhattan_property_sales[[#This Row],[SALE_PRICE]], manhattan_property_sales[[#This Row],[SQUARE_FEET]] * manhattan_property_sales[[#This Row],[Estimated $/sqrft]])</f>
        <v>5201977.95</v>
      </c>
    </row>
    <row r="66" spans="1:9" x14ac:dyDescent="0.25">
      <c r="A66" s="1" t="s">
        <v>79</v>
      </c>
      <c r="B66" s="1" t="s">
        <v>81</v>
      </c>
      <c r="C66" s="2">
        <v>10021</v>
      </c>
      <c r="D66" s="3" t="s">
        <v>9</v>
      </c>
      <c r="E66">
        <v>2700</v>
      </c>
      <c r="F66">
        <v>0</v>
      </c>
      <c r="G66">
        <v>0</v>
      </c>
      <c r="H66">
        <f t="array" ref="H66">IF(manhattan_property_sales[[#This Row],[Price/sqrft]]&gt;0, manhattan_property_sales[[#This Row],[Price/sqrft]], INDEX(average_value[avg_price/sqrft], MATCH(1, (average_value[ZIP_CODE]=manhattan_property_sales[[#This Row],[ZIP_CODE]])*(average_value[BUILDING_CLASS]=manhattan_property_sales[[#This Row],[BUILDING_CLASS]]), 0)) )</f>
        <v>1926.6585</v>
      </c>
      <c r="I66">
        <f>IF(manhattan_property_sales[[#This Row],[SALE_PRICE]]&gt;0, manhattan_property_sales[[#This Row],[SALE_PRICE]], manhattan_property_sales[[#This Row],[SQUARE_FEET]] * manhattan_property_sales[[#This Row],[Estimated $/sqrft]])</f>
        <v>5201977.95</v>
      </c>
    </row>
    <row r="67" spans="1:9" x14ac:dyDescent="0.25">
      <c r="A67" s="1" t="s">
        <v>79</v>
      </c>
      <c r="B67" s="1" t="s">
        <v>82</v>
      </c>
      <c r="C67" s="2">
        <v>10021</v>
      </c>
      <c r="D67" s="3" t="s">
        <v>9</v>
      </c>
      <c r="E67">
        <v>5600</v>
      </c>
      <c r="F67">
        <v>0</v>
      </c>
      <c r="G67">
        <v>0</v>
      </c>
      <c r="H67">
        <f t="array" ref="H67">IF(manhattan_property_sales[[#This Row],[Price/sqrft]]&gt;0, manhattan_property_sales[[#This Row],[Price/sqrft]], INDEX(average_value[avg_price/sqrft], MATCH(1, (average_value[ZIP_CODE]=manhattan_property_sales[[#This Row],[ZIP_CODE]])*(average_value[BUILDING_CLASS]=manhattan_property_sales[[#This Row],[BUILDING_CLASS]]), 0)) )</f>
        <v>1926.6585</v>
      </c>
      <c r="I67">
        <f>IF(manhattan_property_sales[[#This Row],[SALE_PRICE]]&gt;0, manhattan_property_sales[[#This Row],[SALE_PRICE]], manhattan_property_sales[[#This Row],[SQUARE_FEET]] * manhattan_property_sales[[#This Row],[Estimated $/sqrft]])</f>
        <v>10789287.6</v>
      </c>
    </row>
    <row r="68" spans="1:9" x14ac:dyDescent="0.25">
      <c r="A68" s="1" t="s">
        <v>79</v>
      </c>
      <c r="B68" s="1" t="s">
        <v>83</v>
      </c>
      <c r="C68" s="2">
        <v>10021</v>
      </c>
      <c r="D68" s="3" t="s">
        <v>9</v>
      </c>
      <c r="E68">
        <v>2880</v>
      </c>
      <c r="F68">
        <v>4295000</v>
      </c>
      <c r="G68">
        <v>1491.3194000000001</v>
      </c>
      <c r="H68">
        <f t="array" ref="H68">IF(manhattan_property_sales[[#This Row],[Price/sqrft]]&gt;0, manhattan_property_sales[[#This Row],[Price/sqrft]], INDEX(average_value[avg_price/sqrft], MATCH(1, (average_value[ZIP_CODE]=manhattan_property_sales[[#This Row],[ZIP_CODE]])*(average_value[BUILDING_CLASS]=manhattan_property_sales[[#This Row],[BUILDING_CLASS]]), 0)) )</f>
        <v>1491.3194000000001</v>
      </c>
      <c r="I68">
        <f>IF(manhattan_property_sales[[#This Row],[SALE_PRICE]]&gt;0, manhattan_property_sales[[#This Row],[SALE_PRICE]], manhattan_property_sales[[#This Row],[SQUARE_FEET]] * manhattan_property_sales[[#This Row],[Estimated $/sqrft]])</f>
        <v>4295000</v>
      </c>
    </row>
    <row r="69" spans="1:9" x14ac:dyDescent="0.25">
      <c r="A69" s="1" t="s">
        <v>79</v>
      </c>
      <c r="B69" s="1" t="s">
        <v>84</v>
      </c>
      <c r="C69" s="2">
        <v>10021</v>
      </c>
      <c r="D69" s="3" t="s">
        <v>9</v>
      </c>
      <c r="E69">
        <v>4900</v>
      </c>
      <c r="F69">
        <v>11000000</v>
      </c>
      <c r="G69">
        <v>2244.8980000000001</v>
      </c>
      <c r="H69">
        <f t="array" ref="H69">IF(manhattan_property_sales[[#This Row],[Price/sqrft]]&gt;0, manhattan_property_sales[[#This Row],[Price/sqrft]], INDEX(average_value[avg_price/sqrft], MATCH(1, (average_value[ZIP_CODE]=manhattan_property_sales[[#This Row],[ZIP_CODE]])*(average_value[BUILDING_CLASS]=manhattan_property_sales[[#This Row],[BUILDING_CLASS]]), 0)) )</f>
        <v>2244.8980000000001</v>
      </c>
      <c r="I69">
        <f>IF(manhattan_property_sales[[#This Row],[SALE_PRICE]]&gt;0, manhattan_property_sales[[#This Row],[SALE_PRICE]], manhattan_property_sales[[#This Row],[SQUARE_FEET]] * manhattan_property_sales[[#This Row],[Estimated $/sqrft]])</f>
        <v>11000000</v>
      </c>
    </row>
    <row r="70" spans="1:9" x14ac:dyDescent="0.25">
      <c r="A70" s="1" t="s">
        <v>79</v>
      </c>
      <c r="B70" s="1" t="s">
        <v>85</v>
      </c>
      <c r="C70" s="2">
        <v>10021</v>
      </c>
      <c r="D70" s="3" t="s">
        <v>9</v>
      </c>
      <c r="E70">
        <v>6480</v>
      </c>
      <c r="F70">
        <v>8675000</v>
      </c>
      <c r="G70">
        <v>1338.7346</v>
      </c>
      <c r="H70">
        <f t="array" ref="H70">IF(manhattan_property_sales[[#This Row],[Price/sqrft]]&gt;0, manhattan_property_sales[[#This Row],[Price/sqrft]], INDEX(average_value[avg_price/sqrft], MATCH(1, (average_value[ZIP_CODE]=manhattan_property_sales[[#This Row],[ZIP_CODE]])*(average_value[BUILDING_CLASS]=manhattan_property_sales[[#This Row],[BUILDING_CLASS]]), 0)) )</f>
        <v>1338.7346</v>
      </c>
      <c r="I70">
        <f>IF(manhattan_property_sales[[#This Row],[SALE_PRICE]]&gt;0, manhattan_property_sales[[#This Row],[SALE_PRICE]], manhattan_property_sales[[#This Row],[SQUARE_FEET]] * manhattan_property_sales[[#This Row],[Estimated $/sqrft]])</f>
        <v>8675000</v>
      </c>
    </row>
    <row r="71" spans="1:9" x14ac:dyDescent="0.25">
      <c r="A71" s="1" t="s">
        <v>79</v>
      </c>
      <c r="B71" s="1" t="s">
        <v>86</v>
      </c>
      <c r="C71" s="2">
        <v>10021</v>
      </c>
      <c r="D71" s="3" t="s">
        <v>9</v>
      </c>
      <c r="E71">
        <v>5034</v>
      </c>
      <c r="F71">
        <v>6800000</v>
      </c>
      <c r="G71">
        <v>1350.8145</v>
      </c>
      <c r="H71">
        <f t="array" ref="H71">IF(manhattan_property_sales[[#This Row],[Price/sqrft]]&gt;0, manhattan_property_sales[[#This Row],[Price/sqrft]], INDEX(average_value[avg_price/sqrft], MATCH(1, (average_value[ZIP_CODE]=manhattan_property_sales[[#This Row],[ZIP_CODE]])*(average_value[BUILDING_CLASS]=manhattan_property_sales[[#This Row],[BUILDING_CLASS]]), 0)) )</f>
        <v>1350.8145</v>
      </c>
      <c r="I71">
        <f>IF(manhattan_property_sales[[#This Row],[SALE_PRICE]]&gt;0, manhattan_property_sales[[#This Row],[SALE_PRICE]], manhattan_property_sales[[#This Row],[SQUARE_FEET]] * manhattan_property_sales[[#This Row],[Estimated $/sqrft]])</f>
        <v>6800000</v>
      </c>
    </row>
    <row r="72" spans="1:9" x14ac:dyDescent="0.25">
      <c r="A72" s="1" t="s">
        <v>79</v>
      </c>
      <c r="B72" s="1" t="s">
        <v>81</v>
      </c>
      <c r="C72" s="2">
        <v>10021</v>
      </c>
      <c r="D72" s="3" t="s">
        <v>9</v>
      </c>
      <c r="E72">
        <v>2853</v>
      </c>
      <c r="F72">
        <v>5800000</v>
      </c>
      <c r="G72">
        <v>2032.9477999999999</v>
      </c>
      <c r="H72">
        <f t="array" ref="H72">IF(manhattan_property_sales[[#This Row],[Price/sqrft]]&gt;0, manhattan_property_sales[[#This Row],[Price/sqrft]], INDEX(average_value[avg_price/sqrft], MATCH(1, (average_value[ZIP_CODE]=manhattan_property_sales[[#This Row],[ZIP_CODE]])*(average_value[BUILDING_CLASS]=manhattan_property_sales[[#This Row],[BUILDING_CLASS]]), 0)) )</f>
        <v>2032.9477999999999</v>
      </c>
      <c r="I72">
        <f>IF(manhattan_property_sales[[#This Row],[SALE_PRICE]]&gt;0, manhattan_property_sales[[#This Row],[SALE_PRICE]], manhattan_property_sales[[#This Row],[SQUARE_FEET]] * manhattan_property_sales[[#This Row],[Estimated $/sqrft]])</f>
        <v>5800000</v>
      </c>
    </row>
    <row r="73" spans="1:9" x14ac:dyDescent="0.25">
      <c r="A73" s="1" t="s">
        <v>79</v>
      </c>
      <c r="B73" s="1" t="s">
        <v>87</v>
      </c>
      <c r="C73" s="2">
        <v>10021</v>
      </c>
      <c r="D73" s="3" t="s">
        <v>9</v>
      </c>
      <c r="E73">
        <v>5789</v>
      </c>
      <c r="F73">
        <v>0</v>
      </c>
      <c r="G73">
        <v>0</v>
      </c>
      <c r="H73">
        <f t="array" ref="H73">IF(manhattan_property_sales[[#This Row],[Price/sqrft]]&gt;0, manhattan_property_sales[[#This Row],[Price/sqrft]], INDEX(average_value[avg_price/sqrft], MATCH(1, (average_value[ZIP_CODE]=manhattan_property_sales[[#This Row],[ZIP_CODE]])*(average_value[BUILDING_CLASS]=manhattan_property_sales[[#This Row],[BUILDING_CLASS]]), 0)) )</f>
        <v>1926.6585</v>
      </c>
      <c r="I73">
        <f>IF(manhattan_property_sales[[#This Row],[SALE_PRICE]]&gt;0, manhattan_property_sales[[#This Row],[SALE_PRICE]], manhattan_property_sales[[#This Row],[SQUARE_FEET]] * manhattan_property_sales[[#This Row],[Estimated $/sqrft]])</f>
        <v>11153426.056500001</v>
      </c>
    </row>
    <row r="74" spans="1:9" x14ac:dyDescent="0.25">
      <c r="A74" s="1" t="s">
        <v>79</v>
      </c>
      <c r="B74" s="1" t="s">
        <v>88</v>
      </c>
      <c r="C74" s="2">
        <v>10021</v>
      </c>
      <c r="D74" s="3" t="s">
        <v>9</v>
      </c>
      <c r="E74">
        <v>5561</v>
      </c>
      <c r="F74">
        <v>12112500</v>
      </c>
      <c r="G74">
        <v>2178.1154000000001</v>
      </c>
      <c r="H74">
        <f t="array" ref="H74">IF(manhattan_property_sales[[#This Row],[Price/sqrft]]&gt;0, manhattan_property_sales[[#This Row],[Price/sqrft]], INDEX(average_value[avg_price/sqrft], MATCH(1, (average_value[ZIP_CODE]=manhattan_property_sales[[#This Row],[ZIP_CODE]])*(average_value[BUILDING_CLASS]=manhattan_property_sales[[#This Row],[BUILDING_CLASS]]), 0)) )</f>
        <v>2178.1154000000001</v>
      </c>
      <c r="I74">
        <f>IF(manhattan_property_sales[[#This Row],[SALE_PRICE]]&gt;0, manhattan_property_sales[[#This Row],[SALE_PRICE]], manhattan_property_sales[[#This Row],[SQUARE_FEET]] * manhattan_property_sales[[#This Row],[Estimated $/sqrft]])</f>
        <v>12112500</v>
      </c>
    </row>
    <row r="75" spans="1:9" x14ac:dyDescent="0.25">
      <c r="A75" s="1" t="s">
        <v>79</v>
      </c>
      <c r="B75" s="1" t="s">
        <v>89</v>
      </c>
      <c r="C75" s="2">
        <v>10021</v>
      </c>
      <c r="D75" s="3" t="s">
        <v>9</v>
      </c>
      <c r="E75">
        <v>7978</v>
      </c>
      <c r="F75">
        <v>26250000</v>
      </c>
      <c r="G75">
        <v>3290.2982999999999</v>
      </c>
      <c r="H75">
        <f t="array" ref="H75">IF(manhattan_property_sales[[#This Row],[Price/sqrft]]&gt;0, manhattan_property_sales[[#This Row],[Price/sqrft]], INDEX(average_value[avg_price/sqrft], MATCH(1, (average_value[ZIP_CODE]=manhattan_property_sales[[#This Row],[ZIP_CODE]])*(average_value[BUILDING_CLASS]=manhattan_property_sales[[#This Row],[BUILDING_CLASS]]), 0)) )</f>
        <v>3290.2982999999999</v>
      </c>
      <c r="I75">
        <f>IF(manhattan_property_sales[[#This Row],[SALE_PRICE]]&gt;0, manhattan_property_sales[[#This Row],[SALE_PRICE]], manhattan_property_sales[[#This Row],[SQUARE_FEET]] * manhattan_property_sales[[#This Row],[Estimated $/sqrft]])</f>
        <v>26250000</v>
      </c>
    </row>
    <row r="76" spans="1:9" x14ac:dyDescent="0.25">
      <c r="A76" s="1" t="s">
        <v>79</v>
      </c>
      <c r="B76" s="1" t="s">
        <v>90</v>
      </c>
      <c r="C76" s="2">
        <v>10021</v>
      </c>
      <c r="D76" s="3" t="s">
        <v>9</v>
      </c>
      <c r="E76">
        <v>12060</v>
      </c>
      <c r="F76">
        <v>28000000</v>
      </c>
      <c r="G76">
        <v>2321.7247000000002</v>
      </c>
      <c r="H76">
        <f t="array" ref="H76">IF(manhattan_property_sales[[#This Row],[Price/sqrft]]&gt;0, manhattan_property_sales[[#This Row],[Price/sqrft]], INDEX(average_value[avg_price/sqrft], MATCH(1, (average_value[ZIP_CODE]=manhattan_property_sales[[#This Row],[ZIP_CODE]])*(average_value[BUILDING_CLASS]=manhattan_property_sales[[#This Row],[BUILDING_CLASS]]), 0)) )</f>
        <v>2321.7247000000002</v>
      </c>
      <c r="I76">
        <f>IF(manhattan_property_sales[[#This Row],[SALE_PRICE]]&gt;0, manhattan_property_sales[[#This Row],[SALE_PRICE]], manhattan_property_sales[[#This Row],[SQUARE_FEET]] * manhattan_property_sales[[#This Row],[Estimated $/sqrft]])</f>
        <v>28000000</v>
      </c>
    </row>
    <row r="77" spans="1:9" x14ac:dyDescent="0.25">
      <c r="A77" s="1" t="s">
        <v>79</v>
      </c>
      <c r="B77" s="1" t="s">
        <v>91</v>
      </c>
      <c r="C77" s="2">
        <v>10021</v>
      </c>
      <c r="D77" s="3" t="s">
        <v>9</v>
      </c>
      <c r="E77">
        <v>3392</v>
      </c>
      <c r="F77">
        <v>4557000</v>
      </c>
      <c r="G77">
        <v>1343.4552000000001</v>
      </c>
      <c r="H77">
        <f t="array" ref="H77">IF(manhattan_property_sales[[#This Row],[Price/sqrft]]&gt;0, manhattan_property_sales[[#This Row],[Price/sqrft]], INDEX(average_value[avg_price/sqrft], MATCH(1, (average_value[ZIP_CODE]=manhattan_property_sales[[#This Row],[ZIP_CODE]])*(average_value[BUILDING_CLASS]=manhattan_property_sales[[#This Row],[BUILDING_CLASS]]), 0)) )</f>
        <v>1343.4552000000001</v>
      </c>
      <c r="I77">
        <f>IF(manhattan_property_sales[[#This Row],[SALE_PRICE]]&gt;0, manhattan_property_sales[[#This Row],[SALE_PRICE]], manhattan_property_sales[[#This Row],[SQUARE_FEET]] * manhattan_property_sales[[#This Row],[Estimated $/sqrft]])</f>
        <v>4557000</v>
      </c>
    </row>
    <row r="78" spans="1:9" x14ac:dyDescent="0.25">
      <c r="A78" s="1" t="s">
        <v>79</v>
      </c>
      <c r="B78" s="1" t="s">
        <v>92</v>
      </c>
      <c r="C78" s="2">
        <v>10021</v>
      </c>
      <c r="D78" s="3" t="s">
        <v>9</v>
      </c>
      <c r="E78">
        <v>5913</v>
      </c>
      <c r="F78">
        <v>9900000</v>
      </c>
      <c r="G78">
        <v>1674.277</v>
      </c>
      <c r="H78">
        <f t="array" ref="H78">IF(manhattan_property_sales[[#This Row],[Price/sqrft]]&gt;0, manhattan_property_sales[[#This Row],[Price/sqrft]], INDEX(average_value[avg_price/sqrft], MATCH(1, (average_value[ZIP_CODE]=manhattan_property_sales[[#This Row],[ZIP_CODE]])*(average_value[BUILDING_CLASS]=manhattan_property_sales[[#This Row],[BUILDING_CLASS]]), 0)) )</f>
        <v>1674.277</v>
      </c>
      <c r="I78">
        <f>IF(manhattan_property_sales[[#This Row],[SALE_PRICE]]&gt;0, manhattan_property_sales[[#This Row],[SALE_PRICE]], manhattan_property_sales[[#This Row],[SQUARE_FEET]] * manhattan_property_sales[[#This Row],[Estimated $/sqrft]])</f>
        <v>9900000</v>
      </c>
    </row>
    <row r="79" spans="1:9" x14ac:dyDescent="0.25">
      <c r="A79" s="1" t="s">
        <v>79</v>
      </c>
      <c r="B79" s="1" t="s">
        <v>93</v>
      </c>
      <c r="C79" s="2">
        <v>10021</v>
      </c>
      <c r="D79" s="3" t="s">
        <v>94</v>
      </c>
      <c r="E79">
        <v>7420</v>
      </c>
      <c r="F79">
        <v>10202396</v>
      </c>
      <c r="G79">
        <v>1374.9860000000001</v>
      </c>
      <c r="H79">
        <f t="array" ref="H79">IF(manhattan_property_sales[[#This Row],[Price/sqrft]]&gt;0, manhattan_property_sales[[#This Row],[Price/sqrft]], INDEX(average_value[avg_price/sqrft], MATCH(1, (average_value[ZIP_CODE]=manhattan_property_sales[[#This Row],[ZIP_CODE]])*(average_value[BUILDING_CLASS]=manhattan_property_sales[[#This Row],[BUILDING_CLASS]]), 0)) )</f>
        <v>1374.9860000000001</v>
      </c>
      <c r="I79">
        <f>IF(manhattan_property_sales[[#This Row],[SALE_PRICE]]&gt;0, manhattan_property_sales[[#This Row],[SALE_PRICE]], manhattan_property_sales[[#This Row],[SQUARE_FEET]] * manhattan_property_sales[[#This Row],[Estimated $/sqrft]])</f>
        <v>10202396</v>
      </c>
    </row>
    <row r="80" spans="1:9" x14ac:dyDescent="0.25">
      <c r="A80" s="1" t="s">
        <v>79</v>
      </c>
      <c r="B80" s="1" t="s">
        <v>95</v>
      </c>
      <c r="C80" s="2">
        <v>10021</v>
      </c>
      <c r="D80" s="3" t="s">
        <v>94</v>
      </c>
      <c r="E80">
        <v>4525</v>
      </c>
      <c r="F80">
        <v>8500000</v>
      </c>
      <c r="G80">
        <v>1878.453</v>
      </c>
      <c r="H80">
        <f t="array" ref="H80">IF(manhattan_property_sales[[#This Row],[Price/sqrft]]&gt;0, manhattan_property_sales[[#This Row],[Price/sqrft]], INDEX(average_value[avg_price/sqrft], MATCH(1, (average_value[ZIP_CODE]=manhattan_property_sales[[#This Row],[ZIP_CODE]])*(average_value[BUILDING_CLASS]=manhattan_property_sales[[#This Row],[BUILDING_CLASS]]), 0)) )</f>
        <v>1878.453</v>
      </c>
      <c r="I80">
        <f>IF(manhattan_property_sales[[#This Row],[SALE_PRICE]]&gt;0, manhattan_property_sales[[#This Row],[SALE_PRICE]], manhattan_property_sales[[#This Row],[SQUARE_FEET]] * manhattan_property_sales[[#This Row],[Estimated $/sqrft]])</f>
        <v>8500000</v>
      </c>
    </row>
    <row r="81" spans="1:9" x14ac:dyDescent="0.25">
      <c r="A81" s="1" t="s">
        <v>79</v>
      </c>
      <c r="B81" s="1" t="s">
        <v>96</v>
      </c>
      <c r="C81" s="2">
        <v>10028</v>
      </c>
      <c r="D81" s="3" t="s">
        <v>9</v>
      </c>
      <c r="E81">
        <v>2261</v>
      </c>
      <c r="F81">
        <v>6550000</v>
      </c>
      <c r="G81">
        <v>2896.9483</v>
      </c>
      <c r="H81">
        <f t="array" ref="H81">IF(manhattan_property_sales[[#This Row],[Price/sqrft]]&gt;0, manhattan_property_sales[[#This Row],[Price/sqrft]], INDEX(average_value[avg_price/sqrft], MATCH(1, (average_value[ZIP_CODE]=manhattan_property_sales[[#This Row],[ZIP_CODE]])*(average_value[BUILDING_CLASS]=manhattan_property_sales[[#This Row],[BUILDING_CLASS]]), 0)) )</f>
        <v>2896.9483</v>
      </c>
      <c r="I81">
        <f>IF(manhattan_property_sales[[#This Row],[SALE_PRICE]]&gt;0, manhattan_property_sales[[#This Row],[SALE_PRICE]], manhattan_property_sales[[#This Row],[SQUARE_FEET]] * manhattan_property_sales[[#This Row],[Estimated $/sqrft]])</f>
        <v>6550000</v>
      </c>
    </row>
    <row r="82" spans="1:9" x14ac:dyDescent="0.25">
      <c r="A82" s="1" t="s">
        <v>79</v>
      </c>
      <c r="B82" s="1" t="s">
        <v>97</v>
      </c>
      <c r="C82" s="2">
        <v>10028</v>
      </c>
      <c r="D82" s="3" t="s">
        <v>9</v>
      </c>
      <c r="E82">
        <v>2940</v>
      </c>
      <c r="F82">
        <v>6800000</v>
      </c>
      <c r="G82">
        <v>2312.9252000000001</v>
      </c>
      <c r="H82">
        <f t="array" ref="H82">IF(manhattan_property_sales[[#This Row],[Price/sqrft]]&gt;0, manhattan_property_sales[[#This Row],[Price/sqrft]], INDEX(average_value[avg_price/sqrft], MATCH(1, (average_value[ZIP_CODE]=manhattan_property_sales[[#This Row],[ZIP_CODE]])*(average_value[BUILDING_CLASS]=manhattan_property_sales[[#This Row],[BUILDING_CLASS]]), 0)) )</f>
        <v>2312.9252000000001</v>
      </c>
      <c r="I82">
        <f>IF(manhattan_property_sales[[#This Row],[SALE_PRICE]]&gt;0, manhattan_property_sales[[#This Row],[SALE_PRICE]], manhattan_property_sales[[#This Row],[SQUARE_FEET]] * manhattan_property_sales[[#This Row],[Estimated $/sqrft]])</f>
        <v>6800000</v>
      </c>
    </row>
    <row r="83" spans="1:9" x14ac:dyDescent="0.25">
      <c r="A83" s="1" t="s">
        <v>79</v>
      </c>
      <c r="B83" s="1" t="s">
        <v>98</v>
      </c>
      <c r="C83" s="2">
        <v>10028</v>
      </c>
      <c r="D83" s="3" t="s">
        <v>9</v>
      </c>
      <c r="E83">
        <v>3420</v>
      </c>
      <c r="F83">
        <v>0</v>
      </c>
      <c r="G83">
        <v>0</v>
      </c>
      <c r="H83">
        <f t="array" ref="H83">IF(manhattan_property_sales[[#This Row],[Price/sqrft]]&gt;0, manhattan_property_sales[[#This Row],[Price/sqrft]], INDEX(average_value[avg_price/sqrft], MATCH(1, (average_value[ZIP_CODE]=manhattan_property_sales[[#This Row],[ZIP_CODE]])*(average_value[BUILDING_CLASS]=manhattan_property_sales[[#This Row],[BUILDING_CLASS]]), 0)) )</f>
        <v>2472.4348</v>
      </c>
      <c r="I83">
        <f>IF(manhattan_property_sales[[#This Row],[SALE_PRICE]]&gt;0, manhattan_property_sales[[#This Row],[SALE_PRICE]], manhattan_property_sales[[#This Row],[SQUARE_FEET]] * manhattan_property_sales[[#This Row],[Estimated $/sqrft]])</f>
        <v>8455727.0160000008</v>
      </c>
    </row>
    <row r="84" spans="1:9" x14ac:dyDescent="0.25">
      <c r="A84" s="1" t="s">
        <v>79</v>
      </c>
      <c r="B84" s="1" t="s">
        <v>99</v>
      </c>
      <c r="C84" s="2">
        <v>10028</v>
      </c>
      <c r="D84" s="3" t="s">
        <v>9</v>
      </c>
      <c r="E84">
        <v>3015</v>
      </c>
      <c r="F84">
        <v>5200000</v>
      </c>
      <c r="G84">
        <v>1724.7098000000001</v>
      </c>
      <c r="H84">
        <f t="array" ref="H84">IF(manhattan_property_sales[[#This Row],[Price/sqrft]]&gt;0, manhattan_property_sales[[#This Row],[Price/sqrft]], INDEX(average_value[avg_price/sqrft], MATCH(1, (average_value[ZIP_CODE]=manhattan_property_sales[[#This Row],[ZIP_CODE]])*(average_value[BUILDING_CLASS]=manhattan_property_sales[[#This Row],[BUILDING_CLASS]]), 0)) )</f>
        <v>1724.7098000000001</v>
      </c>
      <c r="I84">
        <f>IF(manhattan_property_sales[[#This Row],[SALE_PRICE]]&gt;0, manhattan_property_sales[[#This Row],[SALE_PRICE]], manhattan_property_sales[[#This Row],[SQUARE_FEET]] * manhattan_property_sales[[#This Row],[Estimated $/sqrft]])</f>
        <v>5200000</v>
      </c>
    </row>
    <row r="85" spans="1:9" x14ac:dyDescent="0.25">
      <c r="A85" s="1" t="s">
        <v>79</v>
      </c>
      <c r="B85" s="1" t="s">
        <v>100</v>
      </c>
      <c r="C85" s="2">
        <v>10028</v>
      </c>
      <c r="D85" s="3" t="s">
        <v>9</v>
      </c>
      <c r="E85">
        <v>6200</v>
      </c>
      <c r="F85">
        <v>16750000</v>
      </c>
      <c r="G85">
        <v>2701.6129000000001</v>
      </c>
      <c r="H85">
        <f t="array" ref="H85">IF(manhattan_property_sales[[#This Row],[Price/sqrft]]&gt;0, manhattan_property_sales[[#This Row],[Price/sqrft]], INDEX(average_value[avg_price/sqrft], MATCH(1, (average_value[ZIP_CODE]=manhattan_property_sales[[#This Row],[ZIP_CODE]])*(average_value[BUILDING_CLASS]=manhattan_property_sales[[#This Row],[BUILDING_CLASS]]), 0)) )</f>
        <v>2701.6129000000001</v>
      </c>
      <c r="I85">
        <f>IF(manhattan_property_sales[[#This Row],[SALE_PRICE]]&gt;0, manhattan_property_sales[[#This Row],[SALE_PRICE]], manhattan_property_sales[[#This Row],[SQUARE_FEET]] * manhattan_property_sales[[#This Row],[Estimated $/sqrft]])</f>
        <v>16750000</v>
      </c>
    </row>
    <row r="86" spans="1:9" x14ac:dyDescent="0.25">
      <c r="A86" s="1" t="s">
        <v>79</v>
      </c>
      <c r="B86" s="1" t="s">
        <v>101</v>
      </c>
      <c r="C86" s="2">
        <v>10028</v>
      </c>
      <c r="D86" s="3" t="s">
        <v>9</v>
      </c>
      <c r="E86">
        <v>2520</v>
      </c>
      <c r="F86">
        <v>7100000</v>
      </c>
      <c r="G86">
        <v>2817.4603000000002</v>
      </c>
      <c r="H86">
        <f t="array" ref="H86">IF(manhattan_property_sales[[#This Row],[Price/sqrft]]&gt;0, manhattan_property_sales[[#This Row],[Price/sqrft]], INDEX(average_value[avg_price/sqrft], MATCH(1, (average_value[ZIP_CODE]=manhattan_property_sales[[#This Row],[ZIP_CODE]])*(average_value[BUILDING_CLASS]=manhattan_property_sales[[#This Row],[BUILDING_CLASS]]), 0)) )</f>
        <v>2817.4603000000002</v>
      </c>
      <c r="I86">
        <f>IF(manhattan_property_sales[[#This Row],[SALE_PRICE]]&gt;0, manhattan_property_sales[[#This Row],[SALE_PRICE]], manhattan_property_sales[[#This Row],[SQUARE_FEET]] * manhattan_property_sales[[#This Row],[Estimated $/sqrft]])</f>
        <v>7100000</v>
      </c>
    </row>
    <row r="87" spans="1:9" x14ac:dyDescent="0.25">
      <c r="A87" s="1" t="s">
        <v>79</v>
      </c>
      <c r="B87" s="1" t="s">
        <v>102</v>
      </c>
      <c r="C87" s="2">
        <v>10028</v>
      </c>
      <c r="D87" s="3" t="s">
        <v>9</v>
      </c>
      <c r="E87">
        <v>2520</v>
      </c>
      <c r="F87">
        <v>6000000</v>
      </c>
      <c r="G87">
        <v>2380.9524000000001</v>
      </c>
      <c r="H87">
        <f t="array" ref="H87">IF(manhattan_property_sales[[#This Row],[Price/sqrft]]&gt;0, manhattan_property_sales[[#This Row],[Price/sqrft]], INDEX(average_value[avg_price/sqrft], MATCH(1, (average_value[ZIP_CODE]=manhattan_property_sales[[#This Row],[ZIP_CODE]])*(average_value[BUILDING_CLASS]=manhattan_property_sales[[#This Row],[BUILDING_CLASS]]), 0)) )</f>
        <v>2380.9524000000001</v>
      </c>
      <c r="I87">
        <f>IF(manhattan_property_sales[[#This Row],[SALE_PRICE]]&gt;0, manhattan_property_sales[[#This Row],[SALE_PRICE]], manhattan_property_sales[[#This Row],[SQUARE_FEET]] * manhattan_property_sales[[#This Row],[Estimated $/sqrft]])</f>
        <v>6000000</v>
      </c>
    </row>
    <row r="88" spans="1:9" x14ac:dyDescent="0.25">
      <c r="A88" s="1" t="s">
        <v>79</v>
      </c>
      <c r="B88" s="1" t="s">
        <v>103</v>
      </c>
      <c r="C88" s="2">
        <v>10065</v>
      </c>
      <c r="D88" s="3" t="s">
        <v>9</v>
      </c>
      <c r="E88">
        <v>2640</v>
      </c>
      <c r="F88">
        <v>8000000</v>
      </c>
      <c r="G88">
        <v>3030.3029999999999</v>
      </c>
      <c r="H88">
        <f t="array" ref="H88">IF(manhattan_property_sales[[#This Row],[Price/sqrft]]&gt;0, manhattan_property_sales[[#This Row],[Price/sqrft]], INDEX(average_value[avg_price/sqrft], MATCH(1, (average_value[ZIP_CODE]=manhattan_property_sales[[#This Row],[ZIP_CODE]])*(average_value[BUILDING_CLASS]=manhattan_property_sales[[#This Row],[BUILDING_CLASS]]), 0)) )</f>
        <v>3030.3029999999999</v>
      </c>
      <c r="I88">
        <f>IF(manhattan_property_sales[[#This Row],[SALE_PRICE]]&gt;0, manhattan_property_sales[[#This Row],[SALE_PRICE]], manhattan_property_sales[[#This Row],[SQUARE_FEET]] * manhattan_property_sales[[#This Row],[Estimated $/sqrft]])</f>
        <v>8000000</v>
      </c>
    </row>
    <row r="89" spans="1:9" x14ac:dyDescent="0.25">
      <c r="A89" s="1" t="s">
        <v>79</v>
      </c>
      <c r="B89" s="1" t="s">
        <v>104</v>
      </c>
      <c r="C89" s="2">
        <v>10065</v>
      </c>
      <c r="D89" s="3" t="s">
        <v>9</v>
      </c>
      <c r="E89">
        <v>7918</v>
      </c>
      <c r="F89">
        <v>0</v>
      </c>
      <c r="G89">
        <v>0</v>
      </c>
      <c r="H89">
        <f t="array" ref="H89">IF(manhattan_property_sales[[#This Row],[Price/sqrft]]&gt;0, manhattan_property_sales[[#This Row],[Price/sqrft]], INDEX(average_value[avg_price/sqrft], MATCH(1, (average_value[ZIP_CODE]=manhattan_property_sales[[#This Row],[ZIP_CODE]])*(average_value[BUILDING_CLASS]=manhattan_property_sales[[#This Row],[BUILDING_CLASS]]), 0)) )</f>
        <v>2755.4106999999999</v>
      </c>
      <c r="I89">
        <f>IF(manhattan_property_sales[[#This Row],[SALE_PRICE]]&gt;0, manhattan_property_sales[[#This Row],[SALE_PRICE]], manhattan_property_sales[[#This Row],[SQUARE_FEET]] * manhattan_property_sales[[#This Row],[Estimated $/sqrft]])</f>
        <v>21817341.922600001</v>
      </c>
    </row>
    <row r="90" spans="1:9" x14ac:dyDescent="0.25">
      <c r="A90" s="1" t="s">
        <v>79</v>
      </c>
      <c r="B90" s="1" t="s">
        <v>105</v>
      </c>
      <c r="C90" s="2">
        <v>10065</v>
      </c>
      <c r="D90" s="3" t="s">
        <v>9</v>
      </c>
      <c r="E90">
        <v>4104</v>
      </c>
      <c r="F90">
        <v>8000000</v>
      </c>
      <c r="G90">
        <v>1949.3177000000001</v>
      </c>
      <c r="H90">
        <f t="array" ref="H90">IF(manhattan_property_sales[[#This Row],[Price/sqrft]]&gt;0, manhattan_property_sales[[#This Row],[Price/sqrft]], INDEX(average_value[avg_price/sqrft], MATCH(1, (average_value[ZIP_CODE]=manhattan_property_sales[[#This Row],[ZIP_CODE]])*(average_value[BUILDING_CLASS]=manhattan_property_sales[[#This Row],[BUILDING_CLASS]]), 0)) )</f>
        <v>1949.3177000000001</v>
      </c>
      <c r="I90">
        <f>IF(manhattan_property_sales[[#This Row],[SALE_PRICE]]&gt;0, manhattan_property_sales[[#This Row],[SALE_PRICE]], manhattan_property_sales[[#This Row],[SQUARE_FEET]] * manhattan_property_sales[[#This Row],[Estimated $/sqrft]])</f>
        <v>8000000</v>
      </c>
    </row>
    <row r="91" spans="1:9" x14ac:dyDescent="0.25">
      <c r="A91" s="1" t="s">
        <v>79</v>
      </c>
      <c r="B91" s="1" t="s">
        <v>106</v>
      </c>
      <c r="C91" s="2">
        <v>10065</v>
      </c>
      <c r="D91" s="3" t="s">
        <v>9</v>
      </c>
      <c r="E91">
        <v>4420</v>
      </c>
      <c r="F91">
        <v>8750000</v>
      </c>
      <c r="G91">
        <v>1979.6379999999999</v>
      </c>
      <c r="H91">
        <f t="array" ref="H91">IF(manhattan_property_sales[[#This Row],[Price/sqrft]]&gt;0, manhattan_property_sales[[#This Row],[Price/sqrft]], INDEX(average_value[avg_price/sqrft], MATCH(1, (average_value[ZIP_CODE]=manhattan_property_sales[[#This Row],[ZIP_CODE]])*(average_value[BUILDING_CLASS]=manhattan_property_sales[[#This Row],[BUILDING_CLASS]]), 0)) )</f>
        <v>1979.6379999999999</v>
      </c>
      <c r="I91">
        <f>IF(manhattan_property_sales[[#This Row],[SALE_PRICE]]&gt;0, manhattan_property_sales[[#This Row],[SALE_PRICE]], manhattan_property_sales[[#This Row],[SQUARE_FEET]] * manhattan_property_sales[[#This Row],[Estimated $/sqrft]])</f>
        <v>8750000</v>
      </c>
    </row>
    <row r="92" spans="1:9" x14ac:dyDescent="0.25">
      <c r="A92" s="1" t="s">
        <v>79</v>
      </c>
      <c r="B92" s="1" t="s">
        <v>107</v>
      </c>
      <c r="C92" s="2">
        <v>10065</v>
      </c>
      <c r="D92" s="3" t="s">
        <v>9</v>
      </c>
      <c r="E92">
        <v>3629</v>
      </c>
      <c r="F92">
        <v>9750000</v>
      </c>
      <c r="G92">
        <v>2686.6905000000002</v>
      </c>
      <c r="H92">
        <f t="array" ref="H92">IF(manhattan_property_sales[[#This Row],[Price/sqrft]]&gt;0, manhattan_property_sales[[#This Row],[Price/sqrft]], INDEX(average_value[avg_price/sqrft], MATCH(1, (average_value[ZIP_CODE]=manhattan_property_sales[[#This Row],[ZIP_CODE]])*(average_value[BUILDING_CLASS]=manhattan_property_sales[[#This Row],[BUILDING_CLASS]]), 0)) )</f>
        <v>2686.6905000000002</v>
      </c>
      <c r="I92">
        <f>IF(manhattan_property_sales[[#This Row],[SALE_PRICE]]&gt;0, manhattan_property_sales[[#This Row],[SALE_PRICE]], manhattan_property_sales[[#This Row],[SQUARE_FEET]] * manhattan_property_sales[[#This Row],[Estimated $/sqrft]])</f>
        <v>9750000</v>
      </c>
    </row>
    <row r="93" spans="1:9" x14ac:dyDescent="0.25">
      <c r="A93" s="1" t="s">
        <v>79</v>
      </c>
      <c r="B93" s="1" t="s">
        <v>108</v>
      </c>
      <c r="C93" s="2">
        <v>10065</v>
      </c>
      <c r="D93" s="3" t="s">
        <v>9</v>
      </c>
      <c r="E93">
        <v>5225</v>
      </c>
      <c r="F93">
        <v>11000000</v>
      </c>
      <c r="G93">
        <v>2105.2631999999999</v>
      </c>
      <c r="H93">
        <f t="array" ref="H93">IF(manhattan_property_sales[[#This Row],[Price/sqrft]]&gt;0, manhattan_property_sales[[#This Row],[Price/sqrft]], INDEX(average_value[avg_price/sqrft], MATCH(1, (average_value[ZIP_CODE]=manhattan_property_sales[[#This Row],[ZIP_CODE]])*(average_value[BUILDING_CLASS]=manhattan_property_sales[[#This Row],[BUILDING_CLASS]]), 0)) )</f>
        <v>2105.2631999999999</v>
      </c>
      <c r="I93">
        <f>IF(manhattan_property_sales[[#This Row],[SALE_PRICE]]&gt;0, manhattan_property_sales[[#This Row],[SALE_PRICE]], manhattan_property_sales[[#This Row],[SQUARE_FEET]] * manhattan_property_sales[[#This Row],[Estimated $/sqrft]])</f>
        <v>11000000</v>
      </c>
    </row>
    <row r="94" spans="1:9" x14ac:dyDescent="0.25">
      <c r="A94" s="1" t="s">
        <v>79</v>
      </c>
      <c r="B94" s="1" t="s">
        <v>109</v>
      </c>
      <c r="C94" s="2">
        <v>10065</v>
      </c>
      <c r="D94" s="3" t="s">
        <v>9</v>
      </c>
      <c r="E94">
        <v>6324</v>
      </c>
      <c r="F94">
        <v>21000000</v>
      </c>
      <c r="G94">
        <v>3320.6831000000002</v>
      </c>
      <c r="H94">
        <f t="array" ref="H94">IF(manhattan_property_sales[[#This Row],[Price/sqrft]]&gt;0, manhattan_property_sales[[#This Row],[Price/sqrft]], INDEX(average_value[avg_price/sqrft], MATCH(1, (average_value[ZIP_CODE]=manhattan_property_sales[[#This Row],[ZIP_CODE]])*(average_value[BUILDING_CLASS]=manhattan_property_sales[[#This Row],[BUILDING_CLASS]]), 0)) )</f>
        <v>3320.6831000000002</v>
      </c>
      <c r="I94">
        <f>IF(manhattan_property_sales[[#This Row],[SALE_PRICE]]&gt;0, manhattan_property_sales[[#This Row],[SALE_PRICE]], manhattan_property_sales[[#This Row],[SQUARE_FEET]] * manhattan_property_sales[[#This Row],[Estimated $/sqrft]])</f>
        <v>21000000</v>
      </c>
    </row>
    <row r="95" spans="1:9" x14ac:dyDescent="0.25">
      <c r="A95" s="1" t="s">
        <v>79</v>
      </c>
      <c r="B95" s="1" t="s">
        <v>110</v>
      </c>
      <c r="C95" s="2">
        <v>10065</v>
      </c>
      <c r="D95" s="3" t="s">
        <v>9</v>
      </c>
      <c r="E95">
        <v>3628</v>
      </c>
      <c r="F95">
        <v>0</v>
      </c>
      <c r="G95">
        <v>0</v>
      </c>
      <c r="H95">
        <f t="array" ref="H95">IF(manhattan_property_sales[[#This Row],[Price/sqrft]]&gt;0, manhattan_property_sales[[#This Row],[Price/sqrft]], INDEX(average_value[avg_price/sqrft], MATCH(1, (average_value[ZIP_CODE]=manhattan_property_sales[[#This Row],[ZIP_CODE]])*(average_value[BUILDING_CLASS]=manhattan_property_sales[[#This Row],[BUILDING_CLASS]]), 0)) )</f>
        <v>2755.4106999999999</v>
      </c>
      <c r="I95">
        <f>IF(manhattan_property_sales[[#This Row],[SALE_PRICE]]&gt;0, manhattan_property_sales[[#This Row],[SALE_PRICE]], manhattan_property_sales[[#This Row],[SQUARE_FEET]] * manhattan_property_sales[[#This Row],[Estimated $/sqrft]])</f>
        <v>9996630.0196000002</v>
      </c>
    </row>
    <row r="96" spans="1:9" x14ac:dyDescent="0.25">
      <c r="A96" s="1" t="s">
        <v>79</v>
      </c>
      <c r="B96" s="1" t="s">
        <v>111</v>
      </c>
      <c r="C96" s="2">
        <v>10065</v>
      </c>
      <c r="D96" s="3" t="s">
        <v>9</v>
      </c>
      <c r="E96">
        <v>9168</v>
      </c>
      <c r="F96">
        <v>36000000</v>
      </c>
      <c r="G96">
        <v>3926.7015999999999</v>
      </c>
      <c r="H96">
        <f t="array" ref="H96">IF(manhattan_property_sales[[#This Row],[Price/sqrft]]&gt;0, manhattan_property_sales[[#This Row],[Price/sqrft]], INDEX(average_value[avg_price/sqrft], MATCH(1, (average_value[ZIP_CODE]=manhattan_property_sales[[#This Row],[ZIP_CODE]])*(average_value[BUILDING_CLASS]=manhattan_property_sales[[#This Row],[BUILDING_CLASS]]), 0)) )</f>
        <v>3926.7015999999999</v>
      </c>
      <c r="I96">
        <f>IF(manhattan_property_sales[[#This Row],[SALE_PRICE]]&gt;0, manhattan_property_sales[[#This Row],[SALE_PRICE]], manhattan_property_sales[[#This Row],[SQUARE_FEET]] * manhattan_property_sales[[#This Row],[Estimated $/sqrft]])</f>
        <v>36000000</v>
      </c>
    </row>
    <row r="97" spans="1:9" x14ac:dyDescent="0.25">
      <c r="A97" s="1" t="s">
        <v>79</v>
      </c>
      <c r="B97" s="1" t="s">
        <v>112</v>
      </c>
      <c r="C97" s="2">
        <v>10065</v>
      </c>
      <c r="D97" s="3" t="s">
        <v>9</v>
      </c>
      <c r="E97">
        <v>3600</v>
      </c>
      <c r="F97">
        <v>6350000</v>
      </c>
      <c r="G97">
        <v>1763.8888999999999</v>
      </c>
      <c r="H97">
        <f t="array" ref="H97">IF(manhattan_property_sales[[#This Row],[Price/sqrft]]&gt;0, manhattan_property_sales[[#This Row],[Price/sqrft]], INDEX(average_value[avg_price/sqrft], MATCH(1, (average_value[ZIP_CODE]=manhattan_property_sales[[#This Row],[ZIP_CODE]])*(average_value[BUILDING_CLASS]=manhattan_property_sales[[#This Row],[BUILDING_CLASS]]), 0)) )</f>
        <v>1763.8888999999999</v>
      </c>
      <c r="I97">
        <f>IF(manhattan_property_sales[[#This Row],[SALE_PRICE]]&gt;0, manhattan_property_sales[[#This Row],[SALE_PRICE]], manhattan_property_sales[[#This Row],[SQUARE_FEET]] * manhattan_property_sales[[#This Row],[Estimated $/sqrft]])</f>
        <v>6350000</v>
      </c>
    </row>
    <row r="98" spans="1:9" x14ac:dyDescent="0.25">
      <c r="A98" s="1" t="s">
        <v>79</v>
      </c>
      <c r="B98" s="1" t="s">
        <v>113</v>
      </c>
      <c r="C98" s="2">
        <v>10065</v>
      </c>
      <c r="D98" s="3" t="s">
        <v>9</v>
      </c>
      <c r="E98">
        <v>3376</v>
      </c>
      <c r="F98">
        <v>10700000</v>
      </c>
      <c r="G98">
        <v>3169.4313000000002</v>
      </c>
      <c r="H98">
        <f t="array" ref="H98">IF(manhattan_property_sales[[#This Row],[Price/sqrft]]&gt;0, manhattan_property_sales[[#This Row],[Price/sqrft]], INDEX(average_value[avg_price/sqrft], MATCH(1, (average_value[ZIP_CODE]=manhattan_property_sales[[#This Row],[ZIP_CODE]])*(average_value[BUILDING_CLASS]=manhattan_property_sales[[#This Row],[BUILDING_CLASS]]), 0)) )</f>
        <v>3169.4313000000002</v>
      </c>
      <c r="I98">
        <f>IF(manhattan_property_sales[[#This Row],[SALE_PRICE]]&gt;0, manhattan_property_sales[[#This Row],[SALE_PRICE]], manhattan_property_sales[[#This Row],[SQUARE_FEET]] * manhattan_property_sales[[#This Row],[Estimated $/sqrft]])</f>
        <v>10700000</v>
      </c>
    </row>
    <row r="99" spans="1:9" x14ac:dyDescent="0.25">
      <c r="A99" s="1" t="s">
        <v>79</v>
      </c>
      <c r="B99" s="1" t="s">
        <v>114</v>
      </c>
      <c r="C99" s="2">
        <v>10065</v>
      </c>
      <c r="D99" s="3" t="s">
        <v>9</v>
      </c>
      <c r="E99">
        <v>7280</v>
      </c>
      <c r="F99">
        <v>14000000</v>
      </c>
      <c r="G99">
        <v>1923.0769</v>
      </c>
      <c r="H99">
        <f t="array" ref="H99">IF(manhattan_property_sales[[#This Row],[Price/sqrft]]&gt;0, manhattan_property_sales[[#This Row],[Price/sqrft]], INDEX(average_value[avg_price/sqrft], MATCH(1, (average_value[ZIP_CODE]=manhattan_property_sales[[#This Row],[ZIP_CODE]])*(average_value[BUILDING_CLASS]=manhattan_property_sales[[#This Row],[BUILDING_CLASS]]), 0)) )</f>
        <v>1923.0769</v>
      </c>
      <c r="I99">
        <f>IF(manhattan_property_sales[[#This Row],[SALE_PRICE]]&gt;0, manhattan_property_sales[[#This Row],[SALE_PRICE]], manhattan_property_sales[[#This Row],[SQUARE_FEET]] * manhattan_property_sales[[#This Row],[Estimated $/sqrft]])</f>
        <v>14000000</v>
      </c>
    </row>
    <row r="100" spans="1:9" x14ac:dyDescent="0.25">
      <c r="A100" s="1" t="s">
        <v>79</v>
      </c>
      <c r="B100" s="1" t="s">
        <v>115</v>
      </c>
      <c r="C100" s="2">
        <v>10065</v>
      </c>
      <c r="D100" s="3" t="s">
        <v>9</v>
      </c>
      <c r="E100">
        <v>12347</v>
      </c>
      <c r="F100">
        <v>55000000</v>
      </c>
      <c r="G100">
        <v>4454.5234</v>
      </c>
      <c r="H100">
        <f t="array" ref="H100">IF(manhattan_property_sales[[#This Row],[Price/sqrft]]&gt;0, manhattan_property_sales[[#This Row],[Price/sqrft]], INDEX(average_value[avg_price/sqrft], MATCH(1, (average_value[ZIP_CODE]=manhattan_property_sales[[#This Row],[ZIP_CODE]])*(average_value[BUILDING_CLASS]=manhattan_property_sales[[#This Row],[BUILDING_CLASS]]), 0)) )</f>
        <v>4454.5234</v>
      </c>
      <c r="I100">
        <f>IF(manhattan_property_sales[[#This Row],[SALE_PRICE]]&gt;0, manhattan_property_sales[[#This Row],[SALE_PRICE]], manhattan_property_sales[[#This Row],[SQUARE_FEET]] * manhattan_property_sales[[#This Row],[Estimated $/sqrft]])</f>
        <v>55000000</v>
      </c>
    </row>
    <row r="101" spans="1:9" x14ac:dyDescent="0.25">
      <c r="A101" s="1" t="s">
        <v>79</v>
      </c>
      <c r="B101" s="1" t="s">
        <v>116</v>
      </c>
      <c r="C101" s="2">
        <v>10065</v>
      </c>
      <c r="D101" s="3" t="s">
        <v>94</v>
      </c>
      <c r="E101">
        <v>12882</v>
      </c>
      <c r="F101">
        <v>46750000</v>
      </c>
      <c r="G101">
        <v>3629.0949000000001</v>
      </c>
      <c r="H101">
        <f t="array" ref="H101">IF(manhattan_property_sales[[#This Row],[Price/sqrft]]&gt;0, manhattan_property_sales[[#This Row],[Price/sqrft]], INDEX(average_value[avg_price/sqrft], MATCH(1, (average_value[ZIP_CODE]=manhattan_property_sales[[#This Row],[ZIP_CODE]])*(average_value[BUILDING_CLASS]=manhattan_property_sales[[#This Row],[BUILDING_CLASS]]), 0)) )</f>
        <v>3629.0949000000001</v>
      </c>
      <c r="I101">
        <f>IF(manhattan_property_sales[[#This Row],[SALE_PRICE]]&gt;0, manhattan_property_sales[[#This Row],[SALE_PRICE]], manhattan_property_sales[[#This Row],[SQUARE_FEET]] * manhattan_property_sales[[#This Row],[Estimated $/sqrft]])</f>
        <v>46750000</v>
      </c>
    </row>
    <row r="102" spans="1:9" x14ac:dyDescent="0.25">
      <c r="A102" s="1" t="s">
        <v>79</v>
      </c>
      <c r="B102" s="1" t="s">
        <v>117</v>
      </c>
      <c r="C102" s="2">
        <v>10075</v>
      </c>
      <c r="D102" s="3" t="s">
        <v>9</v>
      </c>
      <c r="E102">
        <v>13300</v>
      </c>
      <c r="F102">
        <v>46000000</v>
      </c>
      <c r="G102">
        <v>3458.6466</v>
      </c>
      <c r="H102">
        <f t="array" ref="H102">IF(manhattan_property_sales[[#This Row],[Price/sqrft]]&gt;0, manhattan_property_sales[[#This Row],[Price/sqrft]], INDEX(average_value[avg_price/sqrft], MATCH(1, (average_value[ZIP_CODE]=manhattan_property_sales[[#This Row],[ZIP_CODE]])*(average_value[BUILDING_CLASS]=manhattan_property_sales[[#This Row],[BUILDING_CLASS]]), 0)) )</f>
        <v>3458.6466</v>
      </c>
      <c r="I102">
        <f>IF(manhattan_property_sales[[#This Row],[SALE_PRICE]]&gt;0, manhattan_property_sales[[#This Row],[SALE_PRICE]], manhattan_property_sales[[#This Row],[SQUARE_FEET]] * manhattan_property_sales[[#This Row],[Estimated $/sqrft]])</f>
        <v>46000000</v>
      </c>
    </row>
    <row r="103" spans="1:9" x14ac:dyDescent="0.25">
      <c r="A103" s="1" t="s">
        <v>79</v>
      </c>
      <c r="B103" s="1" t="s">
        <v>118</v>
      </c>
      <c r="C103" s="2">
        <v>10075</v>
      </c>
      <c r="D103" s="3" t="s">
        <v>9</v>
      </c>
      <c r="E103">
        <v>3400</v>
      </c>
      <c r="F103">
        <v>7000000</v>
      </c>
      <c r="G103">
        <v>2058.8235</v>
      </c>
      <c r="H103">
        <f t="array" ref="H103">IF(manhattan_property_sales[[#This Row],[Price/sqrft]]&gt;0, manhattan_property_sales[[#This Row],[Price/sqrft]], INDEX(average_value[avg_price/sqrft], MATCH(1, (average_value[ZIP_CODE]=manhattan_property_sales[[#This Row],[ZIP_CODE]])*(average_value[BUILDING_CLASS]=manhattan_property_sales[[#This Row],[BUILDING_CLASS]]), 0)) )</f>
        <v>2058.8235</v>
      </c>
      <c r="I103">
        <f>IF(manhattan_property_sales[[#This Row],[SALE_PRICE]]&gt;0, manhattan_property_sales[[#This Row],[SALE_PRICE]], manhattan_property_sales[[#This Row],[SQUARE_FEET]] * manhattan_property_sales[[#This Row],[Estimated $/sqrft]])</f>
        <v>7000000</v>
      </c>
    </row>
    <row r="104" spans="1:9" x14ac:dyDescent="0.25">
      <c r="A104" s="1" t="s">
        <v>79</v>
      </c>
      <c r="B104" s="1" t="s">
        <v>119</v>
      </c>
      <c r="C104" s="2">
        <v>10075</v>
      </c>
      <c r="D104" s="3" t="s">
        <v>9</v>
      </c>
      <c r="E104">
        <v>5670</v>
      </c>
      <c r="F104">
        <v>12700000</v>
      </c>
      <c r="G104">
        <v>2239.8589000000002</v>
      </c>
      <c r="H104">
        <f t="array" ref="H104">IF(manhattan_property_sales[[#This Row],[Price/sqrft]]&gt;0, manhattan_property_sales[[#This Row],[Price/sqrft]], INDEX(average_value[avg_price/sqrft], MATCH(1, (average_value[ZIP_CODE]=manhattan_property_sales[[#This Row],[ZIP_CODE]])*(average_value[BUILDING_CLASS]=manhattan_property_sales[[#This Row],[BUILDING_CLASS]]), 0)) )</f>
        <v>2239.8589000000002</v>
      </c>
      <c r="I104">
        <f>IF(manhattan_property_sales[[#This Row],[SALE_PRICE]]&gt;0, manhattan_property_sales[[#This Row],[SALE_PRICE]], manhattan_property_sales[[#This Row],[SQUARE_FEET]] * manhattan_property_sales[[#This Row],[Estimated $/sqrft]])</f>
        <v>12700000</v>
      </c>
    </row>
    <row r="105" spans="1:9" x14ac:dyDescent="0.25">
      <c r="A105" s="1" t="s">
        <v>79</v>
      </c>
      <c r="B105" s="1" t="s">
        <v>120</v>
      </c>
      <c r="C105" s="2">
        <v>10075</v>
      </c>
      <c r="D105" s="3" t="s">
        <v>9</v>
      </c>
      <c r="E105">
        <v>3750</v>
      </c>
      <c r="F105">
        <v>6500000</v>
      </c>
      <c r="G105">
        <v>1733.3333</v>
      </c>
      <c r="H105">
        <f t="array" ref="H105">IF(manhattan_property_sales[[#This Row],[Price/sqrft]]&gt;0, manhattan_property_sales[[#This Row],[Price/sqrft]], INDEX(average_value[avg_price/sqrft], MATCH(1, (average_value[ZIP_CODE]=manhattan_property_sales[[#This Row],[ZIP_CODE]])*(average_value[BUILDING_CLASS]=manhattan_property_sales[[#This Row],[BUILDING_CLASS]]), 0)) )</f>
        <v>1733.3333</v>
      </c>
      <c r="I105">
        <f>IF(manhattan_property_sales[[#This Row],[SALE_PRICE]]&gt;0, manhattan_property_sales[[#This Row],[SALE_PRICE]], manhattan_property_sales[[#This Row],[SQUARE_FEET]] * manhattan_property_sales[[#This Row],[Estimated $/sqrft]])</f>
        <v>6500000</v>
      </c>
    </row>
    <row r="106" spans="1:9" x14ac:dyDescent="0.25">
      <c r="A106" s="1" t="s">
        <v>79</v>
      </c>
      <c r="B106" s="1" t="s">
        <v>121</v>
      </c>
      <c r="C106" s="2">
        <v>10075</v>
      </c>
      <c r="D106" s="3" t="s">
        <v>9</v>
      </c>
      <c r="E106">
        <v>5760</v>
      </c>
      <c r="F106">
        <v>10500000</v>
      </c>
      <c r="G106">
        <v>1822.9167</v>
      </c>
      <c r="H106">
        <f t="array" ref="H106">IF(manhattan_property_sales[[#This Row],[Price/sqrft]]&gt;0, manhattan_property_sales[[#This Row],[Price/sqrft]], INDEX(average_value[avg_price/sqrft], MATCH(1, (average_value[ZIP_CODE]=manhattan_property_sales[[#This Row],[ZIP_CODE]])*(average_value[BUILDING_CLASS]=manhattan_property_sales[[#This Row],[BUILDING_CLASS]]), 0)) )</f>
        <v>1822.9167</v>
      </c>
      <c r="I106">
        <f>IF(manhattan_property_sales[[#This Row],[SALE_PRICE]]&gt;0, manhattan_property_sales[[#This Row],[SALE_PRICE]], manhattan_property_sales[[#This Row],[SQUARE_FEET]] * manhattan_property_sales[[#This Row],[Estimated $/sqrft]])</f>
        <v>10500000</v>
      </c>
    </row>
    <row r="107" spans="1:9" x14ac:dyDescent="0.25">
      <c r="A107" s="1" t="s">
        <v>79</v>
      </c>
      <c r="B107" s="1" t="s">
        <v>122</v>
      </c>
      <c r="C107" s="2">
        <v>10075</v>
      </c>
      <c r="D107" s="3" t="s">
        <v>9</v>
      </c>
      <c r="E107">
        <v>3305</v>
      </c>
      <c r="F107">
        <v>10450000</v>
      </c>
      <c r="G107">
        <v>3161.8759</v>
      </c>
      <c r="H107">
        <f t="array" ref="H107">IF(manhattan_property_sales[[#This Row],[Price/sqrft]]&gt;0, manhattan_property_sales[[#This Row],[Price/sqrft]], INDEX(average_value[avg_price/sqrft], MATCH(1, (average_value[ZIP_CODE]=manhattan_property_sales[[#This Row],[ZIP_CODE]])*(average_value[BUILDING_CLASS]=manhattan_property_sales[[#This Row],[BUILDING_CLASS]]), 0)) )</f>
        <v>3161.8759</v>
      </c>
      <c r="I107">
        <f>IF(manhattan_property_sales[[#This Row],[SALE_PRICE]]&gt;0, manhattan_property_sales[[#This Row],[SALE_PRICE]], manhattan_property_sales[[#This Row],[SQUARE_FEET]] * manhattan_property_sales[[#This Row],[Estimated $/sqrft]])</f>
        <v>10450000</v>
      </c>
    </row>
    <row r="108" spans="1:9" x14ac:dyDescent="0.25">
      <c r="A108" s="1" t="s">
        <v>79</v>
      </c>
      <c r="B108" s="1" t="s">
        <v>123</v>
      </c>
      <c r="C108" s="2">
        <v>10075</v>
      </c>
      <c r="D108" s="3" t="s">
        <v>9</v>
      </c>
      <c r="E108">
        <v>6600</v>
      </c>
      <c r="F108">
        <v>18150000</v>
      </c>
      <c r="G108">
        <v>2750</v>
      </c>
      <c r="H108">
        <f t="array" ref="H108">IF(manhattan_property_sales[[#This Row],[Price/sqrft]]&gt;0, manhattan_property_sales[[#This Row],[Price/sqrft]], INDEX(average_value[avg_price/sqrft], MATCH(1, (average_value[ZIP_CODE]=manhattan_property_sales[[#This Row],[ZIP_CODE]])*(average_value[BUILDING_CLASS]=manhattan_property_sales[[#This Row],[BUILDING_CLASS]]), 0)) )</f>
        <v>2750</v>
      </c>
      <c r="I108">
        <f>IF(manhattan_property_sales[[#This Row],[SALE_PRICE]]&gt;0, manhattan_property_sales[[#This Row],[SALE_PRICE]], manhattan_property_sales[[#This Row],[SQUARE_FEET]] * manhattan_property_sales[[#This Row],[Estimated $/sqrft]])</f>
        <v>18150000</v>
      </c>
    </row>
    <row r="109" spans="1:9" x14ac:dyDescent="0.25">
      <c r="A109" s="1" t="s">
        <v>79</v>
      </c>
      <c r="B109" s="1" t="s">
        <v>124</v>
      </c>
      <c r="C109" s="2">
        <v>10075</v>
      </c>
      <c r="D109" s="3" t="s">
        <v>94</v>
      </c>
      <c r="E109">
        <v>17676</v>
      </c>
      <c r="F109">
        <v>38000000</v>
      </c>
      <c r="G109">
        <v>2149.8076000000001</v>
      </c>
      <c r="H109">
        <f t="array" ref="H109">IF(manhattan_property_sales[[#This Row],[Price/sqrft]]&gt;0, manhattan_property_sales[[#This Row],[Price/sqrft]], INDEX(average_value[avg_price/sqrft], MATCH(1, (average_value[ZIP_CODE]=manhattan_property_sales[[#This Row],[ZIP_CODE]])*(average_value[BUILDING_CLASS]=manhattan_property_sales[[#This Row],[BUILDING_CLASS]]), 0)) )</f>
        <v>2149.8076000000001</v>
      </c>
      <c r="I109">
        <f>IF(manhattan_property_sales[[#This Row],[SALE_PRICE]]&gt;0, manhattan_property_sales[[#This Row],[SALE_PRICE]], manhattan_property_sales[[#This Row],[SQUARE_FEET]] * manhattan_property_sales[[#This Row],[Estimated $/sqrft]])</f>
        <v>38000000</v>
      </c>
    </row>
    <row r="110" spans="1:9" x14ac:dyDescent="0.25">
      <c r="A110" s="1" t="s">
        <v>79</v>
      </c>
      <c r="B110" s="1" t="s">
        <v>125</v>
      </c>
      <c r="C110" s="2">
        <v>10075</v>
      </c>
      <c r="D110" s="3" t="s">
        <v>16</v>
      </c>
      <c r="E110">
        <v>3440</v>
      </c>
      <c r="F110">
        <v>12453150</v>
      </c>
      <c r="G110">
        <v>3620.1017000000002</v>
      </c>
      <c r="H110">
        <f t="array" ref="H110">IF(manhattan_property_sales[[#This Row],[Price/sqrft]]&gt;0, manhattan_property_sales[[#This Row],[Price/sqrft]], INDEX(average_value[avg_price/sqrft], MATCH(1, (average_value[ZIP_CODE]=manhattan_property_sales[[#This Row],[ZIP_CODE]])*(average_value[BUILDING_CLASS]=manhattan_property_sales[[#This Row],[BUILDING_CLASS]]), 0)) )</f>
        <v>3620.1017000000002</v>
      </c>
      <c r="I110">
        <f>IF(manhattan_property_sales[[#This Row],[SALE_PRICE]]&gt;0, manhattan_property_sales[[#This Row],[SALE_PRICE]], manhattan_property_sales[[#This Row],[SQUARE_FEET]] * manhattan_property_sales[[#This Row],[Estimated $/sqrft]])</f>
        <v>12453150</v>
      </c>
    </row>
    <row r="111" spans="1:9" x14ac:dyDescent="0.25">
      <c r="A111" s="1" t="s">
        <v>79</v>
      </c>
      <c r="B111" s="1" t="s">
        <v>126</v>
      </c>
      <c r="C111" s="2">
        <v>10128</v>
      </c>
      <c r="D111" s="3" t="s">
        <v>9</v>
      </c>
      <c r="E111">
        <v>4421</v>
      </c>
      <c r="F111">
        <v>14200000</v>
      </c>
      <c r="G111">
        <v>3211.9430000000002</v>
      </c>
      <c r="H111">
        <f t="array" ref="H111">IF(manhattan_property_sales[[#This Row],[Price/sqrft]]&gt;0, manhattan_property_sales[[#This Row],[Price/sqrft]], INDEX(average_value[avg_price/sqrft], MATCH(1, (average_value[ZIP_CODE]=manhattan_property_sales[[#This Row],[ZIP_CODE]])*(average_value[BUILDING_CLASS]=manhattan_property_sales[[#This Row],[BUILDING_CLASS]]), 0)) )</f>
        <v>3211.9430000000002</v>
      </c>
      <c r="I111">
        <f>IF(manhattan_property_sales[[#This Row],[SALE_PRICE]]&gt;0, manhattan_property_sales[[#This Row],[SALE_PRICE]], manhattan_property_sales[[#This Row],[SQUARE_FEET]] * manhattan_property_sales[[#This Row],[Estimated $/sqrft]])</f>
        <v>14200000</v>
      </c>
    </row>
    <row r="112" spans="1:9" x14ac:dyDescent="0.25">
      <c r="A112" s="1" t="s">
        <v>79</v>
      </c>
      <c r="B112" s="1" t="s">
        <v>127</v>
      </c>
      <c r="C112" s="2">
        <v>10128</v>
      </c>
      <c r="D112" s="3" t="s">
        <v>9</v>
      </c>
      <c r="E112">
        <v>5524</v>
      </c>
      <c r="F112">
        <v>0</v>
      </c>
      <c r="G112">
        <v>0</v>
      </c>
      <c r="H112">
        <f t="array" ref="H112">IF(manhattan_property_sales[[#This Row],[Price/sqrft]]&gt;0, manhattan_property_sales[[#This Row],[Price/sqrft]], INDEX(average_value[avg_price/sqrft], MATCH(1, (average_value[ZIP_CODE]=manhattan_property_sales[[#This Row],[ZIP_CODE]])*(average_value[BUILDING_CLASS]=manhattan_property_sales[[#This Row],[BUILDING_CLASS]]), 0)) )</f>
        <v>2087.0133000000001</v>
      </c>
      <c r="I112">
        <f>IF(manhattan_property_sales[[#This Row],[SALE_PRICE]]&gt;0, manhattan_property_sales[[#This Row],[SALE_PRICE]], manhattan_property_sales[[#This Row],[SQUARE_FEET]] * manhattan_property_sales[[#This Row],[Estimated $/sqrft]])</f>
        <v>11528661.4692</v>
      </c>
    </row>
    <row r="113" spans="1:9" x14ac:dyDescent="0.25">
      <c r="A113" s="1" t="s">
        <v>79</v>
      </c>
      <c r="B113" s="1" t="s">
        <v>128</v>
      </c>
      <c r="C113" s="2">
        <v>10128</v>
      </c>
      <c r="D113" s="3" t="s">
        <v>9</v>
      </c>
      <c r="E113">
        <v>3928</v>
      </c>
      <c r="F113">
        <v>9750000</v>
      </c>
      <c r="G113">
        <v>2482.1792</v>
      </c>
      <c r="H113">
        <f t="array" ref="H113">IF(manhattan_property_sales[[#This Row],[Price/sqrft]]&gt;0, manhattan_property_sales[[#This Row],[Price/sqrft]], INDEX(average_value[avg_price/sqrft], MATCH(1, (average_value[ZIP_CODE]=manhattan_property_sales[[#This Row],[ZIP_CODE]])*(average_value[BUILDING_CLASS]=manhattan_property_sales[[#This Row],[BUILDING_CLASS]]), 0)) )</f>
        <v>2482.1792</v>
      </c>
      <c r="I113">
        <f>IF(manhattan_property_sales[[#This Row],[SALE_PRICE]]&gt;0, manhattan_property_sales[[#This Row],[SALE_PRICE]], manhattan_property_sales[[#This Row],[SQUARE_FEET]] * manhattan_property_sales[[#This Row],[Estimated $/sqrft]])</f>
        <v>9750000</v>
      </c>
    </row>
    <row r="114" spans="1:9" x14ac:dyDescent="0.25">
      <c r="A114" s="1" t="s">
        <v>79</v>
      </c>
      <c r="B114" s="1" t="s">
        <v>129</v>
      </c>
      <c r="C114" s="2">
        <v>10128</v>
      </c>
      <c r="D114" s="3" t="s">
        <v>9</v>
      </c>
      <c r="E114">
        <v>2880</v>
      </c>
      <c r="F114">
        <v>0</v>
      </c>
      <c r="G114">
        <v>0</v>
      </c>
      <c r="H114">
        <f t="array" ref="H114">IF(manhattan_property_sales[[#This Row],[Price/sqrft]]&gt;0, manhattan_property_sales[[#This Row],[Price/sqrft]], INDEX(average_value[avg_price/sqrft], MATCH(1, (average_value[ZIP_CODE]=manhattan_property_sales[[#This Row],[ZIP_CODE]])*(average_value[BUILDING_CLASS]=manhattan_property_sales[[#This Row],[BUILDING_CLASS]]), 0)) )</f>
        <v>2087.0133000000001</v>
      </c>
      <c r="I114">
        <f>IF(manhattan_property_sales[[#This Row],[SALE_PRICE]]&gt;0, manhattan_property_sales[[#This Row],[SALE_PRICE]], manhattan_property_sales[[#This Row],[SQUARE_FEET]] * manhattan_property_sales[[#This Row],[Estimated $/sqrft]])</f>
        <v>6010598.3040000005</v>
      </c>
    </row>
    <row r="115" spans="1:9" x14ac:dyDescent="0.25">
      <c r="A115" s="1" t="s">
        <v>79</v>
      </c>
      <c r="B115" s="1" t="s">
        <v>130</v>
      </c>
      <c r="C115" s="2">
        <v>10128</v>
      </c>
      <c r="D115" s="3" t="s">
        <v>9</v>
      </c>
      <c r="E115">
        <v>3232</v>
      </c>
      <c r="F115">
        <v>3300000</v>
      </c>
      <c r="G115">
        <v>1021.0396</v>
      </c>
      <c r="H115">
        <f t="array" ref="H115">IF(manhattan_property_sales[[#This Row],[Price/sqrft]]&gt;0, manhattan_property_sales[[#This Row],[Price/sqrft]], INDEX(average_value[avg_price/sqrft], MATCH(1, (average_value[ZIP_CODE]=manhattan_property_sales[[#This Row],[ZIP_CODE]])*(average_value[BUILDING_CLASS]=manhattan_property_sales[[#This Row],[BUILDING_CLASS]]), 0)) )</f>
        <v>1021.0396</v>
      </c>
      <c r="I115">
        <f>IF(manhattan_property_sales[[#This Row],[SALE_PRICE]]&gt;0, manhattan_property_sales[[#This Row],[SALE_PRICE]], manhattan_property_sales[[#This Row],[SQUARE_FEET]] * manhattan_property_sales[[#This Row],[Estimated $/sqrft]])</f>
        <v>3300000</v>
      </c>
    </row>
    <row r="116" spans="1:9" x14ac:dyDescent="0.25">
      <c r="A116" s="1" t="s">
        <v>79</v>
      </c>
      <c r="B116" s="1" t="s">
        <v>131</v>
      </c>
      <c r="C116" s="2">
        <v>10128</v>
      </c>
      <c r="D116" s="3" t="s">
        <v>9</v>
      </c>
      <c r="E116">
        <v>2720</v>
      </c>
      <c r="F116">
        <v>0</v>
      </c>
      <c r="G116">
        <v>0</v>
      </c>
      <c r="H116">
        <f t="array" ref="H116">IF(manhattan_property_sales[[#This Row],[Price/sqrft]]&gt;0, manhattan_property_sales[[#This Row],[Price/sqrft]], INDEX(average_value[avg_price/sqrft], MATCH(1, (average_value[ZIP_CODE]=manhattan_property_sales[[#This Row],[ZIP_CODE]])*(average_value[BUILDING_CLASS]=manhattan_property_sales[[#This Row],[BUILDING_CLASS]]), 0)) )</f>
        <v>2087.0133000000001</v>
      </c>
      <c r="I116">
        <f>IF(manhattan_property_sales[[#This Row],[SALE_PRICE]]&gt;0, manhattan_property_sales[[#This Row],[SALE_PRICE]], manhattan_property_sales[[#This Row],[SQUARE_FEET]] * manhattan_property_sales[[#This Row],[Estimated $/sqrft]])</f>
        <v>5676676.176</v>
      </c>
    </row>
    <row r="117" spans="1:9" x14ac:dyDescent="0.25">
      <c r="A117" s="1" t="s">
        <v>79</v>
      </c>
      <c r="B117" s="1" t="s">
        <v>132</v>
      </c>
      <c r="C117" s="2">
        <v>10128</v>
      </c>
      <c r="D117" s="3" t="s">
        <v>9</v>
      </c>
      <c r="E117">
        <v>3760</v>
      </c>
      <c r="F117">
        <v>6550000</v>
      </c>
      <c r="G117">
        <v>1742.0213000000001</v>
      </c>
      <c r="H117">
        <f t="array" ref="H117">IF(manhattan_property_sales[[#This Row],[Price/sqrft]]&gt;0, manhattan_property_sales[[#This Row],[Price/sqrft]], INDEX(average_value[avg_price/sqrft], MATCH(1, (average_value[ZIP_CODE]=manhattan_property_sales[[#This Row],[ZIP_CODE]])*(average_value[BUILDING_CLASS]=manhattan_property_sales[[#This Row],[BUILDING_CLASS]]), 0)) )</f>
        <v>1742.0213000000001</v>
      </c>
      <c r="I117">
        <f>IF(manhattan_property_sales[[#This Row],[SALE_PRICE]]&gt;0, manhattan_property_sales[[#This Row],[SALE_PRICE]], manhattan_property_sales[[#This Row],[SQUARE_FEET]] * manhattan_property_sales[[#This Row],[Estimated $/sqrft]])</f>
        <v>6550000</v>
      </c>
    </row>
    <row r="118" spans="1:9" x14ac:dyDescent="0.25">
      <c r="A118" s="1" t="s">
        <v>79</v>
      </c>
      <c r="B118" s="1" t="s">
        <v>133</v>
      </c>
      <c r="C118" s="2">
        <v>10128</v>
      </c>
      <c r="D118" s="3" t="s">
        <v>9</v>
      </c>
      <c r="E118">
        <v>6420</v>
      </c>
      <c r="F118">
        <v>15500000</v>
      </c>
      <c r="G118">
        <v>2414.3301999999999</v>
      </c>
      <c r="H118">
        <f t="array" ref="H118">IF(manhattan_property_sales[[#This Row],[Price/sqrft]]&gt;0, manhattan_property_sales[[#This Row],[Price/sqrft]], INDEX(average_value[avg_price/sqrft], MATCH(1, (average_value[ZIP_CODE]=manhattan_property_sales[[#This Row],[ZIP_CODE]])*(average_value[BUILDING_CLASS]=manhattan_property_sales[[#This Row],[BUILDING_CLASS]]), 0)) )</f>
        <v>2414.3301999999999</v>
      </c>
      <c r="I118">
        <f>IF(manhattan_property_sales[[#This Row],[SALE_PRICE]]&gt;0, manhattan_property_sales[[#This Row],[SALE_PRICE]], manhattan_property_sales[[#This Row],[SQUARE_FEET]] * manhattan_property_sales[[#This Row],[Estimated $/sqrft]])</f>
        <v>15500000</v>
      </c>
    </row>
    <row r="119" spans="1:9" x14ac:dyDescent="0.25">
      <c r="A119" s="1" t="s">
        <v>79</v>
      </c>
      <c r="B119" s="1" t="s">
        <v>134</v>
      </c>
      <c r="C119" s="2">
        <v>10128</v>
      </c>
      <c r="D119" s="3" t="s">
        <v>9</v>
      </c>
      <c r="E119">
        <v>6775</v>
      </c>
      <c r="F119">
        <v>14999000</v>
      </c>
      <c r="G119">
        <v>2213.8744999999999</v>
      </c>
      <c r="H119">
        <f t="array" ref="H119">IF(manhattan_property_sales[[#This Row],[Price/sqrft]]&gt;0, manhattan_property_sales[[#This Row],[Price/sqrft]], INDEX(average_value[avg_price/sqrft], MATCH(1, (average_value[ZIP_CODE]=manhattan_property_sales[[#This Row],[ZIP_CODE]])*(average_value[BUILDING_CLASS]=manhattan_property_sales[[#This Row],[BUILDING_CLASS]]), 0)) )</f>
        <v>2213.8744999999999</v>
      </c>
      <c r="I119">
        <f>IF(manhattan_property_sales[[#This Row],[SALE_PRICE]]&gt;0, manhattan_property_sales[[#This Row],[SALE_PRICE]], manhattan_property_sales[[#This Row],[SQUARE_FEET]] * manhattan_property_sales[[#This Row],[Estimated $/sqrft]])</f>
        <v>14999000</v>
      </c>
    </row>
    <row r="120" spans="1:9" x14ac:dyDescent="0.25">
      <c r="A120" s="1" t="s">
        <v>79</v>
      </c>
      <c r="B120" s="1" t="s">
        <v>135</v>
      </c>
      <c r="C120" s="2">
        <v>10128</v>
      </c>
      <c r="D120" s="3" t="s">
        <v>9</v>
      </c>
      <c r="E120">
        <v>2430</v>
      </c>
      <c r="F120">
        <v>4700000</v>
      </c>
      <c r="G120">
        <v>1934.1564000000001</v>
      </c>
      <c r="H120">
        <f t="array" ref="H120">IF(manhattan_property_sales[[#This Row],[Price/sqrft]]&gt;0, manhattan_property_sales[[#This Row],[Price/sqrft]], INDEX(average_value[avg_price/sqrft], MATCH(1, (average_value[ZIP_CODE]=manhattan_property_sales[[#This Row],[ZIP_CODE]])*(average_value[BUILDING_CLASS]=manhattan_property_sales[[#This Row],[BUILDING_CLASS]]), 0)) )</f>
        <v>1934.1564000000001</v>
      </c>
      <c r="I120">
        <f>IF(manhattan_property_sales[[#This Row],[SALE_PRICE]]&gt;0, manhattan_property_sales[[#This Row],[SALE_PRICE]], manhattan_property_sales[[#This Row],[SQUARE_FEET]] * manhattan_property_sales[[#This Row],[Estimated $/sqrft]])</f>
        <v>4700000</v>
      </c>
    </row>
    <row r="121" spans="1:9" x14ac:dyDescent="0.25">
      <c r="A121" s="1" t="s">
        <v>79</v>
      </c>
      <c r="B121" s="1" t="s">
        <v>136</v>
      </c>
      <c r="C121" s="2">
        <v>10128</v>
      </c>
      <c r="D121" s="3" t="s">
        <v>9</v>
      </c>
      <c r="E121">
        <v>3200</v>
      </c>
      <c r="F121">
        <v>5365000</v>
      </c>
      <c r="G121">
        <v>1676.5625</v>
      </c>
      <c r="H121">
        <f t="array" ref="H121">IF(manhattan_property_sales[[#This Row],[Price/sqrft]]&gt;0, manhattan_property_sales[[#This Row],[Price/sqrft]], INDEX(average_value[avg_price/sqrft], MATCH(1, (average_value[ZIP_CODE]=manhattan_property_sales[[#This Row],[ZIP_CODE]])*(average_value[BUILDING_CLASS]=manhattan_property_sales[[#This Row],[BUILDING_CLASS]]), 0)) )</f>
        <v>1676.5625</v>
      </c>
      <c r="I121">
        <f>IF(manhattan_property_sales[[#This Row],[SALE_PRICE]]&gt;0, manhattan_property_sales[[#This Row],[SALE_PRICE]], manhattan_property_sales[[#This Row],[SQUARE_FEET]] * manhattan_property_sales[[#This Row],[Estimated $/sqrft]])</f>
        <v>5365000</v>
      </c>
    </row>
    <row r="122" spans="1:9" x14ac:dyDescent="0.25">
      <c r="A122" s="1" t="s">
        <v>79</v>
      </c>
      <c r="B122" s="1" t="s">
        <v>137</v>
      </c>
      <c r="C122" s="2">
        <v>10128</v>
      </c>
      <c r="D122" s="3" t="s">
        <v>16</v>
      </c>
      <c r="E122">
        <v>2168</v>
      </c>
      <c r="F122">
        <v>6000000</v>
      </c>
      <c r="G122">
        <v>2767.5277000000001</v>
      </c>
      <c r="H122">
        <f t="array" ref="H122">IF(manhattan_property_sales[[#This Row],[Price/sqrft]]&gt;0, manhattan_property_sales[[#This Row],[Price/sqrft]], INDEX(average_value[avg_price/sqrft], MATCH(1, (average_value[ZIP_CODE]=manhattan_property_sales[[#This Row],[ZIP_CODE]])*(average_value[BUILDING_CLASS]=manhattan_property_sales[[#This Row],[BUILDING_CLASS]]), 0)) )</f>
        <v>2767.5277000000001</v>
      </c>
      <c r="I122">
        <f>IF(manhattan_property_sales[[#This Row],[SALE_PRICE]]&gt;0, manhattan_property_sales[[#This Row],[SALE_PRICE]], manhattan_property_sales[[#This Row],[SQUARE_FEET]] * manhattan_property_sales[[#This Row],[Estimated $/sqrft]])</f>
        <v>6000000</v>
      </c>
    </row>
    <row r="123" spans="1:9" x14ac:dyDescent="0.25">
      <c r="A123" s="1" t="s">
        <v>79</v>
      </c>
      <c r="B123" s="1" t="s">
        <v>138</v>
      </c>
      <c r="C123" s="2">
        <v>10128</v>
      </c>
      <c r="D123" s="3" t="s">
        <v>16</v>
      </c>
      <c r="E123">
        <v>3536</v>
      </c>
      <c r="F123">
        <v>9500000</v>
      </c>
      <c r="G123">
        <v>2686.6516000000001</v>
      </c>
      <c r="H123">
        <f t="array" ref="H123">IF(manhattan_property_sales[[#This Row],[Price/sqrft]]&gt;0, manhattan_property_sales[[#This Row],[Price/sqrft]], INDEX(average_value[avg_price/sqrft], MATCH(1, (average_value[ZIP_CODE]=manhattan_property_sales[[#This Row],[ZIP_CODE]])*(average_value[BUILDING_CLASS]=manhattan_property_sales[[#This Row],[BUILDING_CLASS]]), 0)) )</f>
        <v>2686.6516000000001</v>
      </c>
      <c r="I123">
        <f>IF(manhattan_property_sales[[#This Row],[SALE_PRICE]]&gt;0, manhattan_property_sales[[#This Row],[SALE_PRICE]], manhattan_property_sales[[#This Row],[SQUARE_FEET]] * manhattan_property_sales[[#This Row],[Estimated $/sqrft]])</f>
        <v>9500000</v>
      </c>
    </row>
    <row r="124" spans="1:9" x14ac:dyDescent="0.25">
      <c r="A124" s="1" t="s">
        <v>79</v>
      </c>
      <c r="B124" s="1" t="s">
        <v>139</v>
      </c>
      <c r="C124" s="2">
        <v>10128</v>
      </c>
      <c r="D124" s="3" t="s">
        <v>16</v>
      </c>
      <c r="E124">
        <v>3168</v>
      </c>
      <c r="F124">
        <v>0</v>
      </c>
      <c r="G124">
        <v>0</v>
      </c>
      <c r="H124">
        <f t="array" ref="H124">IF(manhattan_property_sales[[#This Row],[Price/sqrft]]&gt;0, manhattan_property_sales[[#This Row],[Price/sqrft]], INDEX(average_value[avg_price/sqrft], MATCH(1, (average_value[ZIP_CODE]=manhattan_property_sales[[#This Row],[ZIP_CODE]])*(average_value[BUILDING_CLASS]=manhattan_property_sales[[#This Row],[BUILDING_CLASS]]), 0)) )</f>
        <v>2521.3036000000002</v>
      </c>
      <c r="I124">
        <f>IF(manhattan_property_sales[[#This Row],[SALE_PRICE]]&gt;0, manhattan_property_sales[[#This Row],[SALE_PRICE]], manhattan_property_sales[[#This Row],[SQUARE_FEET]] * manhattan_property_sales[[#This Row],[Estimated $/sqrft]])</f>
        <v>7987489.804800001</v>
      </c>
    </row>
    <row r="125" spans="1:9" x14ac:dyDescent="0.25">
      <c r="A125" s="1" t="s">
        <v>79</v>
      </c>
      <c r="B125" s="1" t="s">
        <v>140</v>
      </c>
      <c r="C125" s="2">
        <v>10128</v>
      </c>
      <c r="D125" s="3" t="s">
        <v>16</v>
      </c>
      <c r="E125">
        <v>3946</v>
      </c>
      <c r="F125">
        <v>8325000</v>
      </c>
      <c r="G125">
        <v>2109.7314000000001</v>
      </c>
      <c r="H125">
        <f t="array" ref="H125">IF(manhattan_property_sales[[#This Row],[Price/sqrft]]&gt;0, manhattan_property_sales[[#This Row],[Price/sqrft]], INDEX(average_value[avg_price/sqrft], MATCH(1, (average_value[ZIP_CODE]=manhattan_property_sales[[#This Row],[ZIP_CODE]])*(average_value[BUILDING_CLASS]=manhattan_property_sales[[#This Row],[BUILDING_CLASS]]), 0)) )</f>
        <v>2109.7314000000001</v>
      </c>
      <c r="I125">
        <f>IF(manhattan_property_sales[[#This Row],[SALE_PRICE]]&gt;0, manhattan_property_sales[[#This Row],[SALE_PRICE]], manhattan_property_sales[[#This Row],[SQUARE_FEET]] * manhattan_property_sales[[#This Row],[Estimated $/sqrft]])</f>
        <v>8325000</v>
      </c>
    </row>
    <row r="126" spans="1:9" x14ac:dyDescent="0.25">
      <c r="A126" s="1" t="s">
        <v>141</v>
      </c>
      <c r="B126" s="1" t="s">
        <v>142</v>
      </c>
      <c r="C126" s="2">
        <v>10023</v>
      </c>
      <c r="D126" s="3" t="s">
        <v>9</v>
      </c>
      <c r="E126">
        <v>5467</v>
      </c>
      <c r="F126">
        <v>5700000</v>
      </c>
      <c r="G126">
        <v>1042.6194</v>
      </c>
      <c r="H126">
        <f t="array" ref="H126">IF(manhattan_property_sales[[#This Row],[Price/sqrft]]&gt;0, manhattan_property_sales[[#This Row],[Price/sqrft]], INDEX(average_value[avg_price/sqrft], MATCH(1, (average_value[ZIP_CODE]=manhattan_property_sales[[#This Row],[ZIP_CODE]])*(average_value[BUILDING_CLASS]=manhattan_property_sales[[#This Row],[BUILDING_CLASS]]), 0)) )</f>
        <v>1042.6194</v>
      </c>
      <c r="I126">
        <f>IF(manhattan_property_sales[[#This Row],[SALE_PRICE]]&gt;0, manhattan_property_sales[[#This Row],[SALE_PRICE]], manhattan_property_sales[[#This Row],[SQUARE_FEET]] * manhattan_property_sales[[#This Row],[Estimated $/sqrft]])</f>
        <v>5700000</v>
      </c>
    </row>
    <row r="127" spans="1:9" x14ac:dyDescent="0.25">
      <c r="A127" s="1" t="s">
        <v>141</v>
      </c>
      <c r="B127" s="1" t="s">
        <v>143</v>
      </c>
      <c r="C127" s="2">
        <v>10023</v>
      </c>
      <c r="D127" s="3" t="s">
        <v>9</v>
      </c>
      <c r="E127">
        <v>6380</v>
      </c>
      <c r="F127">
        <v>7650000</v>
      </c>
      <c r="G127">
        <v>1199.0596</v>
      </c>
      <c r="H127">
        <f t="array" ref="H127">IF(manhattan_property_sales[[#This Row],[Price/sqrft]]&gt;0, manhattan_property_sales[[#This Row],[Price/sqrft]], INDEX(average_value[avg_price/sqrft], MATCH(1, (average_value[ZIP_CODE]=manhattan_property_sales[[#This Row],[ZIP_CODE]])*(average_value[BUILDING_CLASS]=manhattan_property_sales[[#This Row],[BUILDING_CLASS]]), 0)) )</f>
        <v>1199.0596</v>
      </c>
      <c r="I127">
        <f>IF(manhattan_property_sales[[#This Row],[SALE_PRICE]]&gt;0, manhattan_property_sales[[#This Row],[SALE_PRICE]], manhattan_property_sales[[#This Row],[SQUARE_FEET]] * manhattan_property_sales[[#This Row],[Estimated $/sqrft]])</f>
        <v>7650000</v>
      </c>
    </row>
    <row r="128" spans="1:9" x14ac:dyDescent="0.25">
      <c r="A128" s="1" t="s">
        <v>141</v>
      </c>
      <c r="B128" s="1" t="s">
        <v>144</v>
      </c>
      <c r="C128" s="2">
        <v>10023</v>
      </c>
      <c r="D128" s="3" t="s">
        <v>9</v>
      </c>
      <c r="E128">
        <v>6956</v>
      </c>
      <c r="F128">
        <v>4320000</v>
      </c>
      <c r="G128">
        <v>621.04660000000001</v>
      </c>
      <c r="H128">
        <f t="array" ref="H128">IF(manhattan_property_sales[[#This Row],[Price/sqrft]]&gt;0, manhattan_property_sales[[#This Row],[Price/sqrft]], INDEX(average_value[avg_price/sqrft], MATCH(1, (average_value[ZIP_CODE]=manhattan_property_sales[[#This Row],[ZIP_CODE]])*(average_value[BUILDING_CLASS]=manhattan_property_sales[[#This Row],[BUILDING_CLASS]]), 0)) )</f>
        <v>621.04660000000001</v>
      </c>
      <c r="I128">
        <f>IF(manhattan_property_sales[[#This Row],[SALE_PRICE]]&gt;0, manhattan_property_sales[[#This Row],[SALE_PRICE]], manhattan_property_sales[[#This Row],[SQUARE_FEET]] * manhattan_property_sales[[#This Row],[Estimated $/sqrft]])</f>
        <v>4320000</v>
      </c>
    </row>
    <row r="129" spans="1:9" x14ac:dyDescent="0.25">
      <c r="A129" s="1" t="s">
        <v>141</v>
      </c>
      <c r="B129" s="1" t="s">
        <v>145</v>
      </c>
      <c r="C129" s="2">
        <v>10023</v>
      </c>
      <c r="D129" s="3" t="s">
        <v>9</v>
      </c>
      <c r="E129">
        <v>6450</v>
      </c>
      <c r="F129">
        <v>8180000</v>
      </c>
      <c r="G129">
        <v>1268.2171000000001</v>
      </c>
      <c r="H129">
        <f t="array" ref="H129">IF(manhattan_property_sales[[#This Row],[Price/sqrft]]&gt;0, manhattan_property_sales[[#This Row],[Price/sqrft]], INDEX(average_value[avg_price/sqrft], MATCH(1, (average_value[ZIP_CODE]=manhattan_property_sales[[#This Row],[ZIP_CODE]])*(average_value[BUILDING_CLASS]=manhattan_property_sales[[#This Row],[BUILDING_CLASS]]), 0)) )</f>
        <v>1268.2171000000001</v>
      </c>
      <c r="I129">
        <f>IF(manhattan_property_sales[[#This Row],[SALE_PRICE]]&gt;0, manhattan_property_sales[[#This Row],[SALE_PRICE]], manhattan_property_sales[[#This Row],[SQUARE_FEET]] * manhattan_property_sales[[#This Row],[Estimated $/sqrft]])</f>
        <v>8180000</v>
      </c>
    </row>
    <row r="130" spans="1:9" x14ac:dyDescent="0.25">
      <c r="A130" s="1" t="s">
        <v>141</v>
      </c>
      <c r="B130" s="1" t="s">
        <v>146</v>
      </c>
      <c r="C130" s="2">
        <v>10023</v>
      </c>
      <c r="D130" s="3" t="s">
        <v>9</v>
      </c>
      <c r="E130">
        <v>7820</v>
      </c>
      <c r="F130">
        <v>11500000</v>
      </c>
      <c r="G130">
        <v>1470.5881999999999</v>
      </c>
      <c r="H130">
        <f t="array" ref="H130">IF(manhattan_property_sales[[#This Row],[Price/sqrft]]&gt;0, manhattan_property_sales[[#This Row],[Price/sqrft]], INDEX(average_value[avg_price/sqrft], MATCH(1, (average_value[ZIP_CODE]=manhattan_property_sales[[#This Row],[ZIP_CODE]])*(average_value[BUILDING_CLASS]=manhattan_property_sales[[#This Row],[BUILDING_CLASS]]), 0)) )</f>
        <v>1470.5881999999999</v>
      </c>
      <c r="I130">
        <f>IF(manhattan_property_sales[[#This Row],[SALE_PRICE]]&gt;0, manhattan_property_sales[[#This Row],[SALE_PRICE]], manhattan_property_sales[[#This Row],[SQUARE_FEET]] * manhattan_property_sales[[#This Row],[Estimated $/sqrft]])</f>
        <v>11500000</v>
      </c>
    </row>
    <row r="131" spans="1:9" x14ac:dyDescent="0.25">
      <c r="A131" s="1" t="s">
        <v>141</v>
      </c>
      <c r="B131" s="1" t="s">
        <v>147</v>
      </c>
      <c r="C131" s="2">
        <v>10023</v>
      </c>
      <c r="D131" s="3" t="s">
        <v>16</v>
      </c>
      <c r="E131">
        <v>6576</v>
      </c>
      <c r="F131">
        <v>9800000</v>
      </c>
      <c r="G131">
        <v>1490.2675999999999</v>
      </c>
      <c r="H131">
        <f t="array" ref="H131">IF(manhattan_property_sales[[#This Row],[Price/sqrft]]&gt;0, manhattan_property_sales[[#This Row],[Price/sqrft]], INDEX(average_value[avg_price/sqrft], MATCH(1, (average_value[ZIP_CODE]=manhattan_property_sales[[#This Row],[ZIP_CODE]])*(average_value[BUILDING_CLASS]=manhattan_property_sales[[#This Row],[BUILDING_CLASS]]), 0)) )</f>
        <v>1490.2675999999999</v>
      </c>
      <c r="I131">
        <f>IF(manhattan_property_sales[[#This Row],[SALE_PRICE]]&gt;0, manhattan_property_sales[[#This Row],[SALE_PRICE]], manhattan_property_sales[[#This Row],[SQUARE_FEET]] * manhattan_property_sales[[#This Row],[Estimated $/sqrft]])</f>
        <v>9800000</v>
      </c>
    </row>
    <row r="132" spans="1:9" x14ac:dyDescent="0.25">
      <c r="A132" s="1" t="s">
        <v>141</v>
      </c>
      <c r="B132" s="1" t="s">
        <v>148</v>
      </c>
      <c r="C132" s="2">
        <v>10024</v>
      </c>
      <c r="D132" s="3" t="s">
        <v>9</v>
      </c>
      <c r="E132">
        <v>6254</v>
      </c>
      <c r="F132">
        <v>14600000</v>
      </c>
      <c r="G132">
        <v>2334.5059000000001</v>
      </c>
      <c r="H132">
        <f t="array" ref="H132">IF(manhattan_property_sales[[#This Row],[Price/sqrft]]&gt;0, manhattan_property_sales[[#This Row],[Price/sqrft]], INDEX(average_value[avg_price/sqrft], MATCH(1, (average_value[ZIP_CODE]=manhattan_property_sales[[#This Row],[ZIP_CODE]])*(average_value[BUILDING_CLASS]=manhattan_property_sales[[#This Row],[BUILDING_CLASS]]), 0)) )</f>
        <v>2334.5059000000001</v>
      </c>
      <c r="I132">
        <f>IF(manhattan_property_sales[[#This Row],[SALE_PRICE]]&gt;0, manhattan_property_sales[[#This Row],[SALE_PRICE]], manhattan_property_sales[[#This Row],[SQUARE_FEET]] * manhattan_property_sales[[#This Row],[Estimated $/sqrft]])</f>
        <v>14600000</v>
      </c>
    </row>
    <row r="133" spans="1:9" x14ac:dyDescent="0.25">
      <c r="A133" s="1" t="s">
        <v>141</v>
      </c>
      <c r="B133" s="1" t="s">
        <v>149</v>
      </c>
      <c r="C133" s="2">
        <v>10024</v>
      </c>
      <c r="D133" s="3" t="s">
        <v>9</v>
      </c>
      <c r="E133">
        <v>6645</v>
      </c>
      <c r="F133">
        <v>0</v>
      </c>
      <c r="G133">
        <v>0</v>
      </c>
      <c r="H133">
        <f t="array" ref="H133">IF(manhattan_property_sales[[#This Row],[Price/sqrft]]&gt;0, manhattan_property_sales[[#This Row],[Price/sqrft]], INDEX(average_value[avg_price/sqrft], MATCH(1, (average_value[ZIP_CODE]=manhattan_property_sales[[#This Row],[ZIP_CODE]])*(average_value[BUILDING_CLASS]=manhattan_property_sales[[#This Row],[BUILDING_CLASS]]), 0)) )</f>
        <v>1948.7737999999999</v>
      </c>
      <c r="I133">
        <f>IF(manhattan_property_sales[[#This Row],[SALE_PRICE]]&gt;0, manhattan_property_sales[[#This Row],[SALE_PRICE]], manhattan_property_sales[[#This Row],[SQUARE_FEET]] * manhattan_property_sales[[#This Row],[Estimated $/sqrft]])</f>
        <v>12949601.900999999</v>
      </c>
    </row>
    <row r="134" spans="1:9" x14ac:dyDescent="0.25">
      <c r="A134" s="1" t="s">
        <v>141</v>
      </c>
      <c r="B134" s="1" t="s">
        <v>150</v>
      </c>
      <c r="C134" s="2">
        <v>10024</v>
      </c>
      <c r="D134" s="3" t="s">
        <v>9</v>
      </c>
      <c r="E134">
        <v>6306</v>
      </c>
      <c r="F134">
        <v>12700000</v>
      </c>
      <c r="G134">
        <v>2013.9549999999999</v>
      </c>
      <c r="H134">
        <f t="array" ref="H134">IF(manhattan_property_sales[[#This Row],[Price/sqrft]]&gt;0, manhattan_property_sales[[#This Row],[Price/sqrft]], INDEX(average_value[avg_price/sqrft], MATCH(1, (average_value[ZIP_CODE]=manhattan_property_sales[[#This Row],[ZIP_CODE]])*(average_value[BUILDING_CLASS]=manhattan_property_sales[[#This Row],[BUILDING_CLASS]]), 0)) )</f>
        <v>2013.9549999999999</v>
      </c>
      <c r="I134">
        <f>IF(manhattan_property_sales[[#This Row],[SALE_PRICE]]&gt;0, manhattan_property_sales[[#This Row],[SALE_PRICE]], manhattan_property_sales[[#This Row],[SQUARE_FEET]] * manhattan_property_sales[[#This Row],[Estimated $/sqrft]])</f>
        <v>12700000</v>
      </c>
    </row>
    <row r="135" spans="1:9" x14ac:dyDescent="0.25">
      <c r="A135" s="1" t="s">
        <v>141</v>
      </c>
      <c r="B135" s="1" t="s">
        <v>151</v>
      </c>
      <c r="C135" s="2">
        <v>10024</v>
      </c>
      <c r="D135" s="3" t="s">
        <v>9</v>
      </c>
      <c r="E135">
        <v>5512</v>
      </c>
      <c r="F135">
        <v>0</v>
      </c>
      <c r="G135">
        <v>0</v>
      </c>
      <c r="H135">
        <f t="array" ref="H135">IF(manhattan_property_sales[[#This Row],[Price/sqrft]]&gt;0, manhattan_property_sales[[#This Row],[Price/sqrft]], INDEX(average_value[avg_price/sqrft], MATCH(1, (average_value[ZIP_CODE]=manhattan_property_sales[[#This Row],[ZIP_CODE]])*(average_value[BUILDING_CLASS]=manhattan_property_sales[[#This Row],[BUILDING_CLASS]]), 0)) )</f>
        <v>1948.7737999999999</v>
      </c>
      <c r="I135">
        <f>IF(manhattan_property_sales[[#This Row],[SALE_PRICE]]&gt;0, manhattan_property_sales[[#This Row],[SALE_PRICE]], manhattan_property_sales[[#This Row],[SQUARE_FEET]] * manhattan_property_sales[[#This Row],[Estimated $/sqrft]])</f>
        <v>10741641.1856</v>
      </c>
    </row>
    <row r="136" spans="1:9" x14ac:dyDescent="0.25">
      <c r="A136" s="1" t="s">
        <v>141</v>
      </c>
      <c r="B136" s="1" t="s">
        <v>152</v>
      </c>
      <c r="C136" s="2">
        <v>10024</v>
      </c>
      <c r="D136" s="3" t="s">
        <v>9</v>
      </c>
      <c r="E136">
        <v>5448</v>
      </c>
      <c r="F136">
        <v>0</v>
      </c>
      <c r="G136">
        <v>0</v>
      </c>
      <c r="H136">
        <f t="array" ref="H136">IF(manhattan_property_sales[[#This Row],[Price/sqrft]]&gt;0, manhattan_property_sales[[#This Row],[Price/sqrft]], INDEX(average_value[avg_price/sqrft], MATCH(1, (average_value[ZIP_CODE]=manhattan_property_sales[[#This Row],[ZIP_CODE]])*(average_value[BUILDING_CLASS]=manhattan_property_sales[[#This Row],[BUILDING_CLASS]]), 0)) )</f>
        <v>1948.7737999999999</v>
      </c>
      <c r="I136">
        <f>IF(manhattan_property_sales[[#This Row],[SALE_PRICE]]&gt;0, manhattan_property_sales[[#This Row],[SALE_PRICE]], manhattan_property_sales[[#This Row],[SQUARE_FEET]] * manhattan_property_sales[[#This Row],[Estimated $/sqrft]])</f>
        <v>10616919.6624</v>
      </c>
    </row>
    <row r="137" spans="1:9" x14ac:dyDescent="0.25">
      <c r="A137" s="1" t="s">
        <v>141</v>
      </c>
      <c r="B137" s="1" t="s">
        <v>153</v>
      </c>
      <c r="C137" s="2">
        <v>10024</v>
      </c>
      <c r="D137" s="3" t="s">
        <v>9</v>
      </c>
      <c r="E137">
        <v>4402</v>
      </c>
      <c r="F137">
        <v>9995000</v>
      </c>
      <c r="G137">
        <v>2270.5587999999998</v>
      </c>
      <c r="H137">
        <f t="array" ref="H137">IF(manhattan_property_sales[[#This Row],[Price/sqrft]]&gt;0, manhattan_property_sales[[#This Row],[Price/sqrft]], INDEX(average_value[avg_price/sqrft], MATCH(1, (average_value[ZIP_CODE]=manhattan_property_sales[[#This Row],[ZIP_CODE]])*(average_value[BUILDING_CLASS]=manhattan_property_sales[[#This Row],[BUILDING_CLASS]]), 0)) )</f>
        <v>2270.5587999999998</v>
      </c>
      <c r="I137">
        <f>IF(manhattan_property_sales[[#This Row],[SALE_PRICE]]&gt;0, manhattan_property_sales[[#This Row],[SALE_PRICE]], manhattan_property_sales[[#This Row],[SQUARE_FEET]] * manhattan_property_sales[[#This Row],[Estimated $/sqrft]])</f>
        <v>9995000</v>
      </c>
    </row>
    <row r="138" spans="1:9" x14ac:dyDescent="0.25">
      <c r="A138" s="1" t="s">
        <v>141</v>
      </c>
      <c r="B138" s="1" t="s">
        <v>154</v>
      </c>
      <c r="C138" s="2">
        <v>10024</v>
      </c>
      <c r="D138" s="3" t="s">
        <v>9</v>
      </c>
      <c r="E138">
        <v>2976</v>
      </c>
      <c r="F138">
        <v>3500000</v>
      </c>
      <c r="G138">
        <v>1176.0753</v>
      </c>
      <c r="H138">
        <f t="array" ref="H138">IF(manhattan_property_sales[[#This Row],[Price/sqrft]]&gt;0, manhattan_property_sales[[#This Row],[Price/sqrft]], INDEX(average_value[avg_price/sqrft], MATCH(1, (average_value[ZIP_CODE]=manhattan_property_sales[[#This Row],[ZIP_CODE]])*(average_value[BUILDING_CLASS]=manhattan_property_sales[[#This Row],[BUILDING_CLASS]]), 0)) )</f>
        <v>1176.0753</v>
      </c>
      <c r="I138">
        <f>IF(manhattan_property_sales[[#This Row],[SALE_PRICE]]&gt;0, manhattan_property_sales[[#This Row],[SALE_PRICE]], manhattan_property_sales[[#This Row],[SQUARE_FEET]] * manhattan_property_sales[[#This Row],[Estimated $/sqrft]])</f>
        <v>3500000</v>
      </c>
    </row>
    <row r="139" spans="1:9" x14ac:dyDescent="0.25">
      <c r="A139" s="1" t="s">
        <v>141</v>
      </c>
      <c r="B139" s="1" t="s">
        <v>154</v>
      </c>
      <c r="C139" s="2">
        <v>10024</v>
      </c>
      <c r="D139" s="3" t="s">
        <v>9</v>
      </c>
      <c r="E139">
        <v>2976</v>
      </c>
      <c r="F139">
        <v>0</v>
      </c>
      <c r="G139">
        <v>0</v>
      </c>
      <c r="H139">
        <f t="array" ref="H139">IF(manhattan_property_sales[[#This Row],[Price/sqrft]]&gt;0, manhattan_property_sales[[#This Row],[Price/sqrft]], INDEX(average_value[avg_price/sqrft], MATCH(1, (average_value[ZIP_CODE]=manhattan_property_sales[[#This Row],[ZIP_CODE]])*(average_value[BUILDING_CLASS]=manhattan_property_sales[[#This Row],[BUILDING_CLASS]]), 0)) )</f>
        <v>1948.7737999999999</v>
      </c>
      <c r="I139">
        <f>IF(manhattan_property_sales[[#This Row],[SALE_PRICE]]&gt;0, manhattan_property_sales[[#This Row],[SALE_PRICE]], manhattan_property_sales[[#This Row],[SQUARE_FEET]] * manhattan_property_sales[[#This Row],[Estimated $/sqrft]])</f>
        <v>5799550.8288000003</v>
      </c>
    </row>
    <row r="140" spans="1:9" x14ac:dyDescent="0.25">
      <c r="A140" s="1" t="s">
        <v>141</v>
      </c>
      <c r="B140" s="1" t="s">
        <v>155</v>
      </c>
      <c r="C140" s="2">
        <v>10024</v>
      </c>
      <c r="D140" s="3" t="s">
        <v>29</v>
      </c>
      <c r="E140">
        <v>3651</v>
      </c>
      <c r="F140">
        <v>0</v>
      </c>
      <c r="G140">
        <v>0</v>
      </c>
      <c r="H140">
        <f t="array" ref="H140">IF(manhattan_property_sales[[#This Row],[Price/sqrft]]&gt;0, manhattan_property_sales[[#This Row],[Price/sqrft]], INDEX(average_value[avg_price/sqrft], MATCH(1, (average_value[ZIP_CODE]=manhattan_property_sales[[#This Row],[ZIP_CODE]])*(average_value[BUILDING_CLASS]=manhattan_property_sales[[#This Row],[BUILDING_CLASS]]), 0)) )</f>
        <v>1593.9186</v>
      </c>
      <c r="I140">
        <f>IF(manhattan_property_sales[[#This Row],[SALE_PRICE]]&gt;0, manhattan_property_sales[[#This Row],[SALE_PRICE]], manhattan_property_sales[[#This Row],[SQUARE_FEET]] * manhattan_property_sales[[#This Row],[Estimated $/sqrft]])</f>
        <v>5819396.8086000001</v>
      </c>
    </row>
    <row r="141" spans="1:9" x14ac:dyDescent="0.25">
      <c r="A141" s="1" t="s">
        <v>141</v>
      </c>
      <c r="B141" s="1" t="s">
        <v>156</v>
      </c>
      <c r="C141" s="2">
        <v>10024</v>
      </c>
      <c r="D141" s="3" t="s">
        <v>29</v>
      </c>
      <c r="E141">
        <v>4078</v>
      </c>
      <c r="F141">
        <v>6500000</v>
      </c>
      <c r="G141">
        <v>1593.9186</v>
      </c>
      <c r="H141">
        <f t="array" ref="H141">IF(manhattan_property_sales[[#This Row],[Price/sqrft]]&gt;0, manhattan_property_sales[[#This Row],[Price/sqrft]], INDEX(average_value[avg_price/sqrft], MATCH(1, (average_value[ZIP_CODE]=manhattan_property_sales[[#This Row],[ZIP_CODE]])*(average_value[BUILDING_CLASS]=manhattan_property_sales[[#This Row],[BUILDING_CLASS]]), 0)) )</f>
        <v>1593.9186</v>
      </c>
      <c r="I141">
        <f>IF(manhattan_property_sales[[#This Row],[SALE_PRICE]]&gt;0, manhattan_property_sales[[#This Row],[SALE_PRICE]], manhattan_property_sales[[#This Row],[SQUARE_FEET]] * manhattan_property_sales[[#This Row],[Estimated $/sqrft]])</f>
        <v>6500000</v>
      </c>
    </row>
    <row r="142" spans="1:9" x14ac:dyDescent="0.25">
      <c r="A142" s="1" t="s">
        <v>157</v>
      </c>
      <c r="B142" s="1" t="s">
        <v>158</v>
      </c>
      <c r="C142" s="2">
        <v>10032</v>
      </c>
      <c r="D142" s="3" t="s">
        <v>68</v>
      </c>
      <c r="E142">
        <v>1500</v>
      </c>
      <c r="F142">
        <v>1540000</v>
      </c>
      <c r="G142">
        <v>1026.6667</v>
      </c>
      <c r="H142">
        <f t="array" ref="H142">IF(manhattan_property_sales[[#This Row],[Price/sqrft]]&gt;0, manhattan_property_sales[[#This Row],[Price/sqrft]], INDEX(average_value[avg_price/sqrft], MATCH(1, (average_value[ZIP_CODE]=manhattan_property_sales[[#This Row],[ZIP_CODE]])*(average_value[BUILDING_CLASS]=manhattan_property_sales[[#This Row],[BUILDING_CLASS]]), 0)) )</f>
        <v>1026.6667</v>
      </c>
      <c r="I142">
        <f>IF(manhattan_property_sales[[#This Row],[SALE_PRICE]]&gt;0, manhattan_property_sales[[#This Row],[SALE_PRICE]], manhattan_property_sales[[#This Row],[SQUARE_FEET]] * manhattan_property_sales[[#This Row],[Estimated $/sqrft]])</f>
        <v>1540000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CD3C4-C7BD-43CF-9578-AF5BB6C85298}">
  <dimension ref="A1:A2"/>
  <sheetViews>
    <sheetView tabSelected="1" workbookViewId="0">
      <selection activeCell="A2" sqref="A2"/>
    </sheetView>
  </sheetViews>
  <sheetFormatPr defaultRowHeight="15" x14ac:dyDescent="0.25"/>
  <cols>
    <col min="1" max="1" width="23" bestFit="1" customWidth="1"/>
  </cols>
  <sheetData>
    <row r="1" spans="1:1" x14ac:dyDescent="0.25">
      <c r="A1" s="4" t="s">
        <v>162</v>
      </c>
    </row>
    <row r="2" spans="1:1" ht="23.25" x14ac:dyDescent="0.35">
      <c r="A2" s="5">
        <f xml:space="preserve"> COUNTIF(manhattan_property_sales[Market_value], "&gt; 15000000")</f>
        <v>19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09C22B4-B408-4B0A-B4DA-50930FFFDDD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average value</vt:lpstr>
      <vt:lpstr>manhattan_property_sales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2015-06-05T18:17:20Z</dcterms:created>
  <dcterms:modified xsi:type="dcterms:W3CDTF">2026-05-24T17:35:25Z</dcterms:modified>
</cp:coreProperties>
</file>